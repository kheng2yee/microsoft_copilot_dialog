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6_SRKK Dialog_Microsoft Copilot/Lab/Uploaded to Github/"/>
    </mc:Choice>
  </mc:AlternateContent>
  <xr:revisionPtr revIDLastSave="3" documentId="8_{3064C918-ED37-4FAB-B942-438DF7B21E92}" xr6:coauthVersionLast="47" xr6:coauthVersionMax="47" xr10:uidLastSave="{BC2267E4-F473-40C0-B5D6-17FC7778D0D5}"/>
  <bookViews>
    <workbookView xWindow="-110" yWindow="-110" windowWidth="19420" windowHeight="10300" xr2:uid="{00000000-000D-0000-FFFF-FFFF00000000}"/>
  </bookViews>
  <sheets>
    <sheet name="Sales_Data" sheetId="1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1" i="1" l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P2" i="1" l="1"/>
  <c r="N2" i="1"/>
  <c r="O2" i="1" s="1"/>
  <c r="P3" i="1"/>
  <c r="N3" i="1"/>
  <c r="O3" i="1" s="1"/>
  <c r="P4" i="1"/>
  <c r="N4" i="1"/>
  <c r="O4" i="1" s="1"/>
  <c r="P5" i="1"/>
  <c r="N5" i="1"/>
  <c r="O5" i="1" s="1"/>
  <c r="P6" i="1"/>
  <c r="N6" i="1"/>
  <c r="O6" i="1" s="1"/>
  <c r="P7" i="1"/>
  <c r="N7" i="1"/>
  <c r="O7" i="1" s="1"/>
  <c r="P8" i="1"/>
  <c r="N8" i="1"/>
  <c r="O8" i="1" s="1"/>
  <c r="P9" i="1"/>
  <c r="N9" i="1"/>
  <c r="O9" i="1" s="1"/>
  <c r="P10" i="1"/>
  <c r="N10" i="1"/>
  <c r="O10" i="1" s="1"/>
  <c r="P11" i="1"/>
  <c r="N11" i="1"/>
  <c r="O11" i="1" s="1"/>
  <c r="P12" i="1"/>
  <c r="N12" i="1"/>
  <c r="O12" i="1" s="1"/>
  <c r="P13" i="1"/>
  <c r="N13" i="1"/>
  <c r="O13" i="1" s="1"/>
  <c r="P14" i="1"/>
  <c r="N14" i="1"/>
  <c r="O14" i="1" s="1"/>
  <c r="P15" i="1"/>
  <c r="N15" i="1"/>
  <c r="O15" i="1" s="1"/>
  <c r="P16" i="1"/>
  <c r="N16" i="1"/>
  <c r="O16" i="1" s="1"/>
  <c r="P17" i="1"/>
  <c r="N17" i="1"/>
  <c r="O17" i="1" s="1"/>
  <c r="P18" i="1"/>
  <c r="N18" i="1"/>
  <c r="O18" i="1" s="1"/>
  <c r="P19" i="1"/>
  <c r="N19" i="1"/>
  <c r="O19" i="1" s="1"/>
  <c r="P20" i="1"/>
  <c r="N20" i="1"/>
  <c r="O20" i="1" s="1"/>
  <c r="P21" i="1"/>
  <c r="N21" i="1"/>
  <c r="O21" i="1" s="1"/>
  <c r="P22" i="1"/>
  <c r="N22" i="1"/>
  <c r="O22" i="1" s="1"/>
  <c r="Q22" i="1" s="1"/>
  <c r="R22" i="1" s="1"/>
  <c r="P23" i="1"/>
  <c r="N23" i="1"/>
  <c r="O23" i="1" s="1"/>
  <c r="P24" i="1"/>
  <c r="N24" i="1"/>
  <c r="O24" i="1" s="1"/>
  <c r="P25" i="1"/>
  <c r="N25" i="1"/>
  <c r="O25" i="1" s="1"/>
  <c r="Q25" i="1" s="1"/>
  <c r="R25" i="1" s="1"/>
  <c r="P26" i="1"/>
  <c r="N26" i="1"/>
  <c r="O26" i="1" s="1"/>
  <c r="Q26" i="1" s="1"/>
  <c r="R26" i="1" s="1"/>
  <c r="P27" i="1"/>
  <c r="N27" i="1"/>
  <c r="O27" i="1" s="1"/>
  <c r="P28" i="1"/>
  <c r="N28" i="1"/>
  <c r="O28" i="1" s="1"/>
  <c r="P29" i="1"/>
  <c r="N29" i="1"/>
  <c r="O29" i="1" s="1"/>
  <c r="Q29" i="1" s="1"/>
  <c r="R29" i="1" s="1"/>
  <c r="P30" i="1"/>
  <c r="N30" i="1"/>
  <c r="O30" i="1" s="1"/>
  <c r="Q30" i="1" s="1"/>
  <c r="R30" i="1" s="1"/>
  <c r="P31" i="1"/>
  <c r="N31" i="1"/>
  <c r="O31" i="1" s="1"/>
  <c r="P32" i="1"/>
  <c r="N32" i="1"/>
  <c r="O32" i="1" s="1"/>
  <c r="P33" i="1"/>
  <c r="N33" i="1"/>
  <c r="O33" i="1" s="1"/>
  <c r="Q33" i="1" s="1"/>
  <c r="R33" i="1" s="1"/>
  <c r="P34" i="1"/>
  <c r="N34" i="1"/>
  <c r="O34" i="1" s="1"/>
  <c r="Q34" i="1" s="1"/>
  <c r="R34" i="1" s="1"/>
  <c r="P35" i="1"/>
  <c r="N35" i="1"/>
  <c r="O35" i="1" s="1"/>
  <c r="P36" i="1"/>
  <c r="N36" i="1"/>
  <c r="O36" i="1" s="1"/>
  <c r="P37" i="1"/>
  <c r="N37" i="1"/>
  <c r="O37" i="1" s="1"/>
  <c r="P38" i="1"/>
  <c r="N38" i="1"/>
  <c r="O38" i="1" s="1"/>
  <c r="Q38" i="1" s="1"/>
  <c r="R38" i="1" s="1"/>
  <c r="P39" i="1"/>
  <c r="N39" i="1"/>
  <c r="O39" i="1" s="1"/>
  <c r="P40" i="1"/>
  <c r="N40" i="1"/>
  <c r="O40" i="1" s="1"/>
  <c r="P41" i="1"/>
  <c r="N41" i="1"/>
  <c r="O41" i="1" s="1"/>
  <c r="Q41" i="1" s="1"/>
  <c r="R41" i="1" s="1"/>
  <c r="P42" i="1"/>
  <c r="N42" i="1"/>
  <c r="O42" i="1" s="1"/>
  <c r="Q42" i="1" s="1"/>
  <c r="R42" i="1" s="1"/>
  <c r="P43" i="1"/>
  <c r="N43" i="1"/>
  <c r="O43" i="1" s="1"/>
  <c r="P44" i="1"/>
  <c r="N44" i="1"/>
  <c r="O44" i="1" s="1"/>
  <c r="P45" i="1"/>
  <c r="N45" i="1"/>
  <c r="O45" i="1" s="1"/>
  <c r="Q45" i="1" s="1"/>
  <c r="R45" i="1" s="1"/>
  <c r="P46" i="1"/>
  <c r="N46" i="1"/>
  <c r="O46" i="1" s="1"/>
  <c r="Q46" i="1" s="1"/>
  <c r="R46" i="1" s="1"/>
  <c r="P47" i="1"/>
  <c r="N47" i="1"/>
  <c r="O47" i="1" s="1"/>
  <c r="P48" i="1"/>
  <c r="N48" i="1"/>
  <c r="O48" i="1" s="1"/>
  <c r="P49" i="1"/>
  <c r="N49" i="1"/>
  <c r="O49" i="1" s="1"/>
  <c r="Q49" i="1" s="1"/>
  <c r="R49" i="1" s="1"/>
  <c r="P50" i="1"/>
  <c r="N50" i="1"/>
  <c r="O50" i="1" s="1"/>
  <c r="Q50" i="1" s="1"/>
  <c r="R50" i="1" s="1"/>
  <c r="P51" i="1"/>
  <c r="N51" i="1"/>
  <c r="O51" i="1" s="1"/>
  <c r="P52" i="1"/>
  <c r="N52" i="1"/>
  <c r="O52" i="1" s="1"/>
  <c r="P53" i="1"/>
  <c r="N53" i="1"/>
  <c r="O53" i="1" s="1"/>
  <c r="Q53" i="1" s="1"/>
  <c r="R53" i="1" s="1"/>
  <c r="P54" i="1"/>
  <c r="N54" i="1"/>
  <c r="O54" i="1" s="1"/>
  <c r="Q54" i="1" s="1"/>
  <c r="R54" i="1" s="1"/>
  <c r="P55" i="1"/>
  <c r="N55" i="1"/>
  <c r="O55" i="1" s="1"/>
  <c r="P56" i="1"/>
  <c r="N56" i="1"/>
  <c r="O56" i="1" s="1"/>
  <c r="P57" i="1"/>
  <c r="N57" i="1"/>
  <c r="O57" i="1" s="1"/>
  <c r="Q57" i="1" s="1"/>
  <c r="R57" i="1" s="1"/>
  <c r="P58" i="1"/>
  <c r="N58" i="1"/>
  <c r="O58" i="1" s="1"/>
  <c r="Q58" i="1" s="1"/>
  <c r="R58" i="1" s="1"/>
  <c r="P59" i="1"/>
  <c r="N59" i="1"/>
  <c r="O59" i="1" s="1"/>
  <c r="P60" i="1"/>
  <c r="N60" i="1"/>
  <c r="O60" i="1" s="1"/>
  <c r="P61" i="1"/>
  <c r="N61" i="1"/>
  <c r="O61" i="1" s="1"/>
  <c r="Q61" i="1" s="1"/>
  <c r="R61" i="1" s="1"/>
  <c r="P62" i="1"/>
  <c r="N62" i="1"/>
  <c r="O62" i="1" s="1"/>
  <c r="Q62" i="1" s="1"/>
  <c r="R62" i="1" s="1"/>
  <c r="P63" i="1"/>
  <c r="N63" i="1"/>
  <c r="O63" i="1" s="1"/>
  <c r="P64" i="1"/>
  <c r="N64" i="1"/>
  <c r="O64" i="1" s="1"/>
  <c r="P65" i="1"/>
  <c r="N65" i="1"/>
  <c r="O65" i="1" s="1"/>
  <c r="Q65" i="1" s="1"/>
  <c r="R65" i="1" s="1"/>
  <c r="P66" i="1"/>
  <c r="N66" i="1"/>
  <c r="O66" i="1" s="1"/>
  <c r="Q66" i="1" s="1"/>
  <c r="R66" i="1" s="1"/>
  <c r="P67" i="1"/>
  <c r="N67" i="1"/>
  <c r="O67" i="1" s="1"/>
  <c r="P68" i="1"/>
  <c r="N68" i="1"/>
  <c r="O68" i="1" s="1"/>
  <c r="P69" i="1"/>
  <c r="N69" i="1"/>
  <c r="O69" i="1" s="1"/>
  <c r="Q69" i="1" s="1"/>
  <c r="R69" i="1" s="1"/>
  <c r="P70" i="1"/>
  <c r="N70" i="1"/>
  <c r="O70" i="1" s="1"/>
  <c r="Q70" i="1" s="1"/>
  <c r="R70" i="1" s="1"/>
  <c r="P71" i="1"/>
  <c r="N71" i="1"/>
  <c r="O71" i="1" s="1"/>
  <c r="P72" i="1"/>
  <c r="N72" i="1"/>
  <c r="O72" i="1" s="1"/>
  <c r="P73" i="1"/>
  <c r="N73" i="1"/>
  <c r="O73" i="1" s="1"/>
  <c r="Q73" i="1" s="1"/>
  <c r="R73" i="1" s="1"/>
  <c r="P74" i="1"/>
  <c r="N74" i="1"/>
  <c r="O74" i="1" s="1"/>
  <c r="Q74" i="1" s="1"/>
  <c r="R74" i="1" s="1"/>
  <c r="P75" i="1"/>
  <c r="N75" i="1"/>
  <c r="O75" i="1" s="1"/>
  <c r="P76" i="1"/>
  <c r="N76" i="1"/>
  <c r="O76" i="1" s="1"/>
  <c r="P77" i="1"/>
  <c r="N77" i="1"/>
  <c r="O77" i="1" s="1"/>
  <c r="Q77" i="1" s="1"/>
  <c r="R77" i="1" s="1"/>
  <c r="P78" i="1"/>
  <c r="N78" i="1"/>
  <c r="O78" i="1" s="1"/>
  <c r="Q78" i="1" s="1"/>
  <c r="R78" i="1" s="1"/>
  <c r="P79" i="1"/>
  <c r="N79" i="1"/>
  <c r="O79" i="1" s="1"/>
  <c r="P80" i="1"/>
  <c r="N80" i="1"/>
  <c r="O80" i="1" s="1"/>
  <c r="P81" i="1"/>
  <c r="N81" i="1"/>
  <c r="O81" i="1" s="1"/>
  <c r="Q81" i="1" s="1"/>
  <c r="R81" i="1" s="1"/>
  <c r="P82" i="1"/>
  <c r="N82" i="1"/>
  <c r="O82" i="1" s="1"/>
  <c r="Q82" i="1" s="1"/>
  <c r="R82" i="1" s="1"/>
  <c r="P83" i="1"/>
  <c r="N83" i="1"/>
  <c r="O83" i="1" s="1"/>
  <c r="P84" i="1"/>
  <c r="N84" i="1"/>
  <c r="O84" i="1" s="1"/>
  <c r="P85" i="1"/>
  <c r="N85" i="1"/>
  <c r="O85" i="1" s="1"/>
  <c r="Q85" i="1" s="1"/>
  <c r="R85" i="1" s="1"/>
  <c r="P86" i="1"/>
  <c r="N86" i="1"/>
  <c r="O86" i="1" s="1"/>
  <c r="Q86" i="1" s="1"/>
  <c r="R86" i="1" s="1"/>
  <c r="P87" i="1"/>
  <c r="N87" i="1"/>
  <c r="O87" i="1" s="1"/>
  <c r="P88" i="1"/>
  <c r="N88" i="1"/>
  <c r="O88" i="1" s="1"/>
  <c r="P89" i="1"/>
  <c r="N89" i="1"/>
  <c r="O89" i="1" s="1"/>
  <c r="Q89" i="1" s="1"/>
  <c r="R89" i="1" s="1"/>
  <c r="P90" i="1"/>
  <c r="N90" i="1"/>
  <c r="O90" i="1" s="1"/>
  <c r="Q90" i="1" s="1"/>
  <c r="R90" i="1" s="1"/>
  <c r="P91" i="1"/>
  <c r="N91" i="1"/>
  <c r="O91" i="1" s="1"/>
  <c r="Q91" i="1" s="1"/>
  <c r="R91" i="1" s="1"/>
  <c r="P92" i="1"/>
  <c r="N92" i="1"/>
  <c r="O92" i="1" s="1"/>
  <c r="P93" i="1"/>
  <c r="N93" i="1"/>
  <c r="O93" i="1" s="1"/>
  <c r="Q93" i="1" s="1"/>
  <c r="R93" i="1" s="1"/>
  <c r="P94" i="1"/>
  <c r="N94" i="1"/>
  <c r="O94" i="1" s="1"/>
  <c r="Q94" i="1" s="1"/>
  <c r="R94" i="1" s="1"/>
  <c r="P95" i="1"/>
  <c r="N95" i="1"/>
  <c r="O95" i="1" s="1"/>
  <c r="Q95" i="1" s="1"/>
  <c r="R95" i="1" s="1"/>
  <c r="P96" i="1"/>
  <c r="N96" i="1"/>
  <c r="O96" i="1" s="1"/>
  <c r="P97" i="1"/>
  <c r="N97" i="1"/>
  <c r="O97" i="1" s="1"/>
  <c r="Q97" i="1" s="1"/>
  <c r="R97" i="1" s="1"/>
  <c r="P98" i="1"/>
  <c r="N98" i="1"/>
  <c r="O98" i="1" s="1"/>
  <c r="Q98" i="1" s="1"/>
  <c r="R98" i="1" s="1"/>
  <c r="P99" i="1"/>
  <c r="N99" i="1"/>
  <c r="O99" i="1" s="1"/>
  <c r="Q99" i="1" s="1"/>
  <c r="R99" i="1" s="1"/>
  <c r="P100" i="1"/>
  <c r="N100" i="1"/>
  <c r="O100" i="1" s="1"/>
  <c r="P101" i="1"/>
  <c r="N101" i="1"/>
  <c r="O101" i="1" s="1"/>
  <c r="Q101" i="1" s="1"/>
  <c r="R101" i="1" s="1"/>
  <c r="P102" i="1"/>
  <c r="N102" i="1"/>
  <c r="O102" i="1" s="1"/>
  <c r="Q102" i="1" s="1"/>
  <c r="R102" i="1" s="1"/>
  <c r="P103" i="1"/>
  <c r="N103" i="1"/>
  <c r="O103" i="1" s="1"/>
  <c r="Q103" i="1" s="1"/>
  <c r="R103" i="1" s="1"/>
  <c r="P104" i="1"/>
  <c r="N104" i="1"/>
  <c r="O104" i="1" s="1"/>
  <c r="P105" i="1"/>
  <c r="N105" i="1"/>
  <c r="O105" i="1" s="1"/>
  <c r="Q105" i="1" s="1"/>
  <c r="R105" i="1" s="1"/>
  <c r="P106" i="1"/>
  <c r="N106" i="1"/>
  <c r="O106" i="1" s="1"/>
  <c r="Q106" i="1" s="1"/>
  <c r="R106" i="1" s="1"/>
  <c r="P107" i="1"/>
  <c r="N107" i="1"/>
  <c r="O107" i="1" s="1"/>
  <c r="Q107" i="1" s="1"/>
  <c r="R107" i="1" s="1"/>
  <c r="P108" i="1"/>
  <c r="N108" i="1"/>
  <c r="O108" i="1" s="1"/>
  <c r="P109" i="1"/>
  <c r="N109" i="1"/>
  <c r="O109" i="1" s="1"/>
  <c r="Q109" i="1" s="1"/>
  <c r="R109" i="1" s="1"/>
  <c r="P110" i="1"/>
  <c r="N110" i="1"/>
  <c r="O110" i="1" s="1"/>
  <c r="Q110" i="1" s="1"/>
  <c r="R110" i="1" s="1"/>
  <c r="P111" i="1"/>
  <c r="N111" i="1"/>
  <c r="O111" i="1" s="1"/>
  <c r="Q111" i="1" s="1"/>
  <c r="R111" i="1" s="1"/>
  <c r="P112" i="1"/>
  <c r="N112" i="1"/>
  <c r="O112" i="1" s="1"/>
  <c r="P113" i="1"/>
  <c r="N113" i="1"/>
  <c r="O113" i="1" s="1"/>
  <c r="Q113" i="1" s="1"/>
  <c r="R113" i="1" s="1"/>
  <c r="P114" i="1"/>
  <c r="N114" i="1"/>
  <c r="O114" i="1" s="1"/>
  <c r="Q114" i="1" s="1"/>
  <c r="R114" i="1" s="1"/>
  <c r="P115" i="1"/>
  <c r="N115" i="1"/>
  <c r="O115" i="1" s="1"/>
  <c r="Q115" i="1" s="1"/>
  <c r="R115" i="1" s="1"/>
  <c r="P116" i="1"/>
  <c r="N116" i="1"/>
  <c r="O116" i="1" s="1"/>
  <c r="P117" i="1"/>
  <c r="N117" i="1"/>
  <c r="O117" i="1" s="1"/>
  <c r="Q117" i="1" s="1"/>
  <c r="R117" i="1" s="1"/>
  <c r="P118" i="1"/>
  <c r="N118" i="1"/>
  <c r="O118" i="1" s="1"/>
  <c r="Q118" i="1" s="1"/>
  <c r="R118" i="1" s="1"/>
  <c r="P119" i="1"/>
  <c r="N119" i="1"/>
  <c r="O119" i="1" s="1"/>
  <c r="Q119" i="1" s="1"/>
  <c r="R119" i="1" s="1"/>
  <c r="P120" i="1"/>
  <c r="N120" i="1"/>
  <c r="O120" i="1" s="1"/>
  <c r="P121" i="1"/>
  <c r="N121" i="1"/>
  <c r="O121" i="1" s="1"/>
  <c r="Q121" i="1" s="1"/>
  <c r="R121" i="1" s="1"/>
  <c r="P122" i="1"/>
  <c r="N122" i="1"/>
  <c r="O122" i="1" s="1"/>
  <c r="Q122" i="1" s="1"/>
  <c r="R122" i="1" s="1"/>
  <c r="P123" i="1"/>
  <c r="N123" i="1"/>
  <c r="O123" i="1" s="1"/>
  <c r="Q123" i="1" s="1"/>
  <c r="R123" i="1" s="1"/>
  <c r="P124" i="1"/>
  <c r="N124" i="1"/>
  <c r="O124" i="1" s="1"/>
  <c r="P125" i="1"/>
  <c r="N125" i="1"/>
  <c r="O125" i="1" s="1"/>
  <c r="Q125" i="1" s="1"/>
  <c r="R125" i="1" s="1"/>
  <c r="P126" i="1"/>
  <c r="N126" i="1"/>
  <c r="O126" i="1" s="1"/>
  <c r="Q126" i="1" s="1"/>
  <c r="R126" i="1" s="1"/>
  <c r="P127" i="1"/>
  <c r="N127" i="1"/>
  <c r="O127" i="1" s="1"/>
  <c r="Q127" i="1" s="1"/>
  <c r="R127" i="1" s="1"/>
  <c r="P128" i="1"/>
  <c r="N128" i="1"/>
  <c r="O128" i="1" s="1"/>
  <c r="P129" i="1"/>
  <c r="N129" i="1"/>
  <c r="O129" i="1" s="1"/>
  <c r="Q129" i="1" s="1"/>
  <c r="R129" i="1" s="1"/>
  <c r="P130" i="1"/>
  <c r="N130" i="1"/>
  <c r="O130" i="1" s="1"/>
  <c r="Q130" i="1" s="1"/>
  <c r="R130" i="1" s="1"/>
  <c r="P131" i="1"/>
  <c r="N131" i="1"/>
  <c r="O131" i="1" s="1"/>
  <c r="Q131" i="1" s="1"/>
  <c r="R131" i="1" s="1"/>
  <c r="P132" i="1"/>
  <c r="N132" i="1"/>
  <c r="O132" i="1" s="1"/>
  <c r="P133" i="1"/>
  <c r="N133" i="1"/>
  <c r="O133" i="1" s="1"/>
  <c r="Q133" i="1" s="1"/>
  <c r="R133" i="1" s="1"/>
  <c r="P134" i="1"/>
  <c r="N134" i="1"/>
  <c r="O134" i="1" s="1"/>
  <c r="Q134" i="1" s="1"/>
  <c r="R134" i="1" s="1"/>
  <c r="P135" i="1"/>
  <c r="N135" i="1"/>
  <c r="O135" i="1" s="1"/>
  <c r="Q135" i="1" s="1"/>
  <c r="R135" i="1" s="1"/>
  <c r="P136" i="1"/>
  <c r="N136" i="1"/>
  <c r="O136" i="1" s="1"/>
  <c r="P137" i="1"/>
  <c r="N137" i="1"/>
  <c r="O137" i="1" s="1"/>
  <c r="Q137" i="1" s="1"/>
  <c r="R137" i="1" s="1"/>
  <c r="P138" i="1"/>
  <c r="N138" i="1"/>
  <c r="O138" i="1" s="1"/>
  <c r="Q138" i="1" s="1"/>
  <c r="R138" i="1" s="1"/>
  <c r="P139" i="1"/>
  <c r="N139" i="1"/>
  <c r="O139" i="1" s="1"/>
  <c r="Q139" i="1" s="1"/>
  <c r="R139" i="1" s="1"/>
  <c r="P140" i="1"/>
  <c r="N140" i="1"/>
  <c r="O140" i="1" s="1"/>
  <c r="P141" i="1"/>
  <c r="N141" i="1"/>
  <c r="O141" i="1" s="1"/>
  <c r="Q141" i="1" s="1"/>
  <c r="R141" i="1" s="1"/>
  <c r="P142" i="1"/>
  <c r="N142" i="1"/>
  <c r="O142" i="1" s="1"/>
  <c r="Q142" i="1" s="1"/>
  <c r="R142" i="1" s="1"/>
  <c r="P143" i="1"/>
  <c r="N143" i="1"/>
  <c r="O143" i="1" s="1"/>
  <c r="Q143" i="1" s="1"/>
  <c r="R143" i="1" s="1"/>
  <c r="P144" i="1"/>
  <c r="N144" i="1"/>
  <c r="O144" i="1" s="1"/>
  <c r="P145" i="1"/>
  <c r="N145" i="1"/>
  <c r="O145" i="1" s="1"/>
  <c r="Q145" i="1" s="1"/>
  <c r="R145" i="1" s="1"/>
  <c r="P146" i="1"/>
  <c r="N146" i="1"/>
  <c r="O146" i="1" s="1"/>
  <c r="Q146" i="1" s="1"/>
  <c r="R146" i="1" s="1"/>
  <c r="P147" i="1"/>
  <c r="N147" i="1"/>
  <c r="O147" i="1" s="1"/>
  <c r="Q147" i="1" s="1"/>
  <c r="R147" i="1" s="1"/>
  <c r="P148" i="1"/>
  <c r="N148" i="1"/>
  <c r="O148" i="1" s="1"/>
  <c r="P149" i="1"/>
  <c r="N149" i="1"/>
  <c r="O149" i="1" s="1"/>
  <c r="Q149" i="1" s="1"/>
  <c r="R149" i="1" s="1"/>
  <c r="P150" i="1"/>
  <c r="N150" i="1"/>
  <c r="O150" i="1" s="1"/>
  <c r="Q150" i="1" s="1"/>
  <c r="R150" i="1" s="1"/>
  <c r="P151" i="1"/>
  <c r="N151" i="1"/>
  <c r="O151" i="1" s="1"/>
  <c r="Q151" i="1" s="1"/>
  <c r="R151" i="1" s="1"/>
  <c r="P152" i="1"/>
  <c r="N152" i="1"/>
  <c r="O152" i="1" s="1"/>
  <c r="P153" i="1"/>
  <c r="N153" i="1"/>
  <c r="O153" i="1" s="1"/>
  <c r="Q153" i="1" s="1"/>
  <c r="R153" i="1" s="1"/>
  <c r="P154" i="1"/>
  <c r="N154" i="1"/>
  <c r="O154" i="1" s="1"/>
  <c r="Q154" i="1" s="1"/>
  <c r="R154" i="1" s="1"/>
  <c r="P155" i="1"/>
  <c r="N155" i="1"/>
  <c r="O155" i="1" s="1"/>
  <c r="Q155" i="1" s="1"/>
  <c r="R155" i="1" s="1"/>
  <c r="P156" i="1"/>
  <c r="N156" i="1"/>
  <c r="O156" i="1" s="1"/>
  <c r="P157" i="1"/>
  <c r="N157" i="1"/>
  <c r="O157" i="1" s="1"/>
  <c r="Q157" i="1" s="1"/>
  <c r="R157" i="1" s="1"/>
  <c r="P158" i="1"/>
  <c r="N158" i="1"/>
  <c r="O158" i="1" s="1"/>
  <c r="Q158" i="1" s="1"/>
  <c r="R158" i="1" s="1"/>
  <c r="P159" i="1"/>
  <c r="N159" i="1"/>
  <c r="O159" i="1" s="1"/>
  <c r="Q159" i="1" s="1"/>
  <c r="R159" i="1" s="1"/>
  <c r="P160" i="1"/>
  <c r="N160" i="1"/>
  <c r="O160" i="1" s="1"/>
  <c r="P161" i="1"/>
  <c r="N161" i="1"/>
  <c r="O161" i="1" s="1"/>
  <c r="Q161" i="1" s="1"/>
  <c r="R161" i="1" s="1"/>
  <c r="P162" i="1"/>
  <c r="N162" i="1"/>
  <c r="O162" i="1" s="1"/>
  <c r="Q162" i="1" s="1"/>
  <c r="R162" i="1" s="1"/>
  <c r="P163" i="1"/>
  <c r="N163" i="1"/>
  <c r="O163" i="1" s="1"/>
  <c r="Q163" i="1" s="1"/>
  <c r="R163" i="1" s="1"/>
  <c r="P164" i="1"/>
  <c r="N164" i="1"/>
  <c r="O164" i="1" s="1"/>
  <c r="P165" i="1"/>
  <c r="N165" i="1"/>
  <c r="O165" i="1" s="1"/>
  <c r="Q165" i="1" s="1"/>
  <c r="R165" i="1" s="1"/>
  <c r="P166" i="1"/>
  <c r="N166" i="1"/>
  <c r="O166" i="1" s="1"/>
  <c r="Q166" i="1" s="1"/>
  <c r="R166" i="1" s="1"/>
  <c r="P167" i="1"/>
  <c r="N167" i="1"/>
  <c r="O167" i="1" s="1"/>
  <c r="Q167" i="1" s="1"/>
  <c r="R167" i="1" s="1"/>
  <c r="P168" i="1"/>
  <c r="N168" i="1"/>
  <c r="O168" i="1" s="1"/>
  <c r="P169" i="1"/>
  <c r="N169" i="1"/>
  <c r="O169" i="1" s="1"/>
  <c r="Q169" i="1" s="1"/>
  <c r="R169" i="1" s="1"/>
  <c r="P170" i="1"/>
  <c r="N170" i="1"/>
  <c r="O170" i="1" s="1"/>
  <c r="Q170" i="1" s="1"/>
  <c r="R170" i="1" s="1"/>
  <c r="P171" i="1"/>
  <c r="N171" i="1"/>
  <c r="O171" i="1" s="1"/>
  <c r="Q171" i="1" s="1"/>
  <c r="R171" i="1" s="1"/>
  <c r="P172" i="1"/>
  <c r="N172" i="1"/>
  <c r="O172" i="1" s="1"/>
  <c r="P173" i="1"/>
  <c r="N173" i="1"/>
  <c r="O173" i="1" s="1"/>
  <c r="Q173" i="1" s="1"/>
  <c r="R173" i="1" s="1"/>
  <c r="P174" i="1"/>
  <c r="N174" i="1"/>
  <c r="O174" i="1" s="1"/>
  <c r="Q174" i="1" s="1"/>
  <c r="R174" i="1" s="1"/>
  <c r="P175" i="1"/>
  <c r="N175" i="1"/>
  <c r="O175" i="1" s="1"/>
  <c r="Q175" i="1" s="1"/>
  <c r="R175" i="1" s="1"/>
  <c r="P176" i="1"/>
  <c r="N176" i="1"/>
  <c r="O176" i="1" s="1"/>
  <c r="P177" i="1"/>
  <c r="N177" i="1"/>
  <c r="O177" i="1" s="1"/>
  <c r="Q177" i="1" s="1"/>
  <c r="R177" i="1" s="1"/>
  <c r="P178" i="1"/>
  <c r="N178" i="1"/>
  <c r="O178" i="1" s="1"/>
  <c r="Q178" i="1" s="1"/>
  <c r="R178" i="1" s="1"/>
  <c r="P179" i="1"/>
  <c r="N179" i="1"/>
  <c r="O179" i="1" s="1"/>
  <c r="Q179" i="1" s="1"/>
  <c r="R179" i="1" s="1"/>
  <c r="P180" i="1"/>
  <c r="N180" i="1"/>
  <c r="O180" i="1" s="1"/>
  <c r="P181" i="1"/>
  <c r="N181" i="1"/>
  <c r="O181" i="1" s="1"/>
  <c r="Q181" i="1" s="1"/>
  <c r="R181" i="1" s="1"/>
  <c r="Q180" i="1" l="1"/>
  <c r="R180" i="1" s="1"/>
  <c r="Q176" i="1"/>
  <c r="R176" i="1" s="1"/>
  <c r="Q172" i="1"/>
  <c r="R172" i="1" s="1"/>
  <c r="Q168" i="1"/>
  <c r="R168" i="1" s="1"/>
  <c r="Q164" i="1"/>
  <c r="R164" i="1" s="1"/>
  <c r="Q160" i="1"/>
  <c r="R160" i="1" s="1"/>
  <c r="Q156" i="1"/>
  <c r="R156" i="1" s="1"/>
  <c r="Q152" i="1"/>
  <c r="R152" i="1" s="1"/>
  <c r="Q148" i="1"/>
  <c r="R148" i="1" s="1"/>
  <c r="Q144" i="1"/>
  <c r="R144" i="1" s="1"/>
  <c r="Q140" i="1"/>
  <c r="R140" i="1" s="1"/>
  <c r="Q136" i="1"/>
  <c r="R136" i="1" s="1"/>
  <c r="Q132" i="1"/>
  <c r="R132" i="1" s="1"/>
  <c r="Q128" i="1"/>
  <c r="R128" i="1" s="1"/>
  <c r="Q124" i="1"/>
  <c r="R124" i="1" s="1"/>
  <c r="Q120" i="1"/>
  <c r="R120" i="1" s="1"/>
  <c r="Q116" i="1"/>
  <c r="R116" i="1" s="1"/>
  <c r="Q112" i="1"/>
  <c r="R112" i="1" s="1"/>
  <c r="Q108" i="1"/>
  <c r="R108" i="1" s="1"/>
  <c r="Q104" i="1"/>
  <c r="R104" i="1" s="1"/>
  <c r="Q100" i="1"/>
  <c r="R100" i="1" s="1"/>
  <c r="Q96" i="1"/>
  <c r="R96" i="1" s="1"/>
  <c r="Q92" i="1"/>
  <c r="R92" i="1" s="1"/>
  <c r="Q88" i="1"/>
  <c r="R88" i="1" s="1"/>
  <c r="Q84" i="1"/>
  <c r="R84" i="1" s="1"/>
  <c r="Q80" i="1"/>
  <c r="R80" i="1" s="1"/>
  <c r="Q76" i="1"/>
  <c r="R76" i="1" s="1"/>
  <c r="Q72" i="1"/>
  <c r="R72" i="1" s="1"/>
  <c r="Q68" i="1"/>
  <c r="R68" i="1" s="1"/>
  <c r="Q64" i="1"/>
  <c r="R64" i="1" s="1"/>
  <c r="Q60" i="1"/>
  <c r="R60" i="1" s="1"/>
  <c r="Q56" i="1"/>
  <c r="R56" i="1" s="1"/>
  <c r="Q52" i="1"/>
  <c r="R52" i="1" s="1"/>
  <c r="Q48" i="1"/>
  <c r="R48" i="1" s="1"/>
  <c r="Q87" i="1"/>
  <c r="R87" i="1" s="1"/>
  <c r="Q83" i="1"/>
  <c r="R83" i="1" s="1"/>
  <c r="Q79" i="1"/>
  <c r="R79" i="1" s="1"/>
  <c r="Q75" i="1"/>
  <c r="R75" i="1" s="1"/>
  <c r="Q71" i="1"/>
  <c r="R71" i="1" s="1"/>
  <c r="Q67" i="1"/>
  <c r="R67" i="1" s="1"/>
  <c r="Q18" i="1"/>
  <c r="R18" i="1" s="1"/>
  <c r="Q21" i="1"/>
  <c r="R21" i="1" s="1"/>
  <c r="Q17" i="1"/>
  <c r="R17" i="1" s="1"/>
  <c r="Q44" i="1"/>
  <c r="R44" i="1" s="1"/>
  <c r="Q40" i="1"/>
  <c r="R40" i="1" s="1"/>
  <c r="Q36" i="1"/>
  <c r="R36" i="1" s="1"/>
  <c r="Q32" i="1"/>
  <c r="R32" i="1" s="1"/>
  <c r="Q28" i="1"/>
  <c r="R28" i="1" s="1"/>
  <c r="Q24" i="1"/>
  <c r="R24" i="1" s="1"/>
  <c r="Q20" i="1"/>
  <c r="R20" i="1" s="1"/>
  <c r="Q63" i="1"/>
  <c r="R63" i="1" s="1"/>
  <c r="Q59" i="1"/>
  <c r="R59" i="1" s="1"/>
  <c r="Q55" i="1"/>
  <c r="R55" i="1" s="1"/>
  <c r="Q51" i="1"/>
  <c r="R51" i="1" s="1"/>
  <c r="Q47" i="1"/>
  <c r="R47" i="1" s="1"/>
  <c r="Q43" i="1"/>
  <c r="R43" i="1" s="1"/>
  <c r="Q39" i="1"/>
  <c r="R39" i="1" s="1"/>
  <c r="Q35" i="1"/>
  <c r="R35" i="1" s="1"/>
  <c r="Q31" i="1"/>
  <c r="R31" i="1" s="1"/>
  <c r="Q27" i="1"/>
  <c r="R27" i="1" s="1"/>
  <c r="Q23" i="1"/>
  <c r="R23" i="1" s="1"/>
  <c r="Q19" i="1"/>
  <c r="R19" i="1" s="1"/>
  <c r="Q15" i="1"/>
  <c r="R15" i="1" s="1"/>
  <c r="Q37" i="1"/>
  <c r="R37" i="1" s="1"/>
  <c r="Q13" i="1"/>
  <c r="R13" i="1" s="1"/>
  <c r="Q7" i="1"/>
  <c r="R7" i="1" s="1"/>
  <c r="Q16" i="1"/>
  <c r="R16" i="1" s="1"/>
  <c r="Q14" i="1"/>
  <c r="Q12" i="1"/>
  <c r="Q11" i="1"/>
  <c r="Q10" i="1"/>
  <c r="Q9" i="1"/>
  <c r="R9" i="1" s="1"/>
  <c r="Q8" i="1"/>
  <c r="Q6" i="1"/>
  <c r="Q5" i="1"/>
  <c r="Q4" i="1"/>
  <c r="Q3" i="1"/>
  <c r="Q2" i="1"/>
  <c r="R2" i="1" l="1"/>
  <c r="R3" i="1"/>
  <c r="R4" i="1"/>
  <c r="R5" i="1"/>
  <c r="R6" i="1"/>
  <c r="R8" i="1"/>
  <c r="R10" i="1"/>
  <c r="R11" i="1"/>
  <c r="R12" i="1"/>
  <c r="R14" i="1"/>
</calcChain>
</file>

<file path=xl/sharedStrings.xml><?xml version="1.0" encoding="utf-8"?>
<sst xmlns="http://schemas.openxmlformats.org/spreadsheetml/2006/main" count="1640" uniqueCount="238">
  <si>
    <t>Order_ID</t>
  </si>
  <si>
    <t>Order_Date</t>
  </si>
  <si>
    <t>Month</t>
  </si>
  <si>
    <t>Region</t>
  </si>
  <si>
    <t>Sales_Rep</t>
  </si>
  <si>
    <t>Customer_Type</t>
  </si>
  <si>
    <t>Channel</t>
  </si>
  <si>
    <t>Product_Category</t>
  </si>
  <si>
    <t>Product</t>
  </si>
  <si>
    <t>Units_Sold</t>
  </si>
  <si>
    <t>Unit_Price_RM</t>
  </si>
  <si>
    <t>Discount_%</t>
  </si>
  <si>
    <t>Gross_Sales_RM</t>
  </si>
  <si>
    <t>Discount_RM</t>
  </si>
  <si>
    <t>Net_Sales_RM</t>
  </si>
  <si>
    <t>Cost_RM</t>
  </si>
  <si>
    <t>Profit_RM</t>
  </si>
  <si>
    <t>Profit_Margin_%</t>
  </si>
  <si>
    <t>Customer_Rating</t>
  </si>
  <si>
    <t>Delivery_Status</t>
  </si>
  <si>
    <t>ORD-2026001</t>
  </si>
  <si>
    <t>Jun-2026</t>
  </si>
  <si>
    <t>Central</t>
  </si>
  <si>
    <t>Farid</t>
  </si>
  <si>
    <t>New</t>
  </si>
  <si>
    <t>Retail</t>
  </si>
  <si>
    <t>Smart Devices</t>
  </si>
  <si>
    <t>SmartHome Hub</t>
  </si>
  <si>
    <t>Delayed</t>
  </si>
  <si>
    <t>ORD-2026002</t>
  </si>
  <si>
    <t>Apr-2026</t>
  </si>
  <si>
    <t>Ben</t>
  </si>
  <si>
    <t>ORD-2026003</t>
  </si>
  <si>
    <t>East Coast</t>
  </si>
  <si>
    <t>Existing</t>
  </si>
  <si>
    <t>Online</t>
  </si>
  <si>
    <t>Security</t>
  </si>
  <si>
    <t>Security Camera Pro</t>
  </si>
  <si>
    <t>Delivered</t>
  </si>
  <si>
    <t>ORD-2026004</t>
  </si>
  <si>
    <t>Feb-2026</t>
  </si>
  <si>
    <t>Distributor</t>
  </si>
  <si>
    <t>Networking</t>
  </si>
  <si>
    <t>WiFi Signal Booster</t>
  </si>
  <si>
    <t>Pending</t>
  </si>
  <si>
    <t>ORD-2026005</t>
  </si>
  <si>
    <t>May-2026</t>
  </si>
  <si>
    <t>Corporate</t>
  </si>
  <si>
    <t>ORD-2026006</t>
  </si>
  <si>
    <t>Devi</t>
  </si>
  <si>
    <t>ORD-2026007</t>
  </si>
  <si>
    <t>Northern</t>
  </si>
  <si>
    <t>Grace</t>
  </si>
  <si>
    <t>ORD-2026008</t>
  </si>
  <si>
    <t>Energy Monitor</t>
  </si>
  <si>
    <t>ORD-2026009</t>
  </si>
  <si>
    <t>Southern</t>
  </si>
  <si>
    <t>Aina</t>
  </si>
  <si>
    <t>ORD-2026010</t>
  </si>
  <si>
    <t>Mar-2026</t>
  </si>
  <si>
    <t>Hafiz</t>
  </si>
  <si>
    <t>ORD-2026011</t>
  </si>
  <si>
    <t>Sabah/Sarawak</t>
  </si>
  <si>
    <t>Lighting</t>
  </si>
  <si>
    <t>LED Panel</t>
  </si>
  <si>
    <t>ORD-2026012</t>
  </si>
  <si>
    <t>ORD-2026013</t>
  </si>
  <si>
    <t>Jan-2026</t>
  </si>
  <si>
    <t>ORD-2026014</t>
  </si>
  <si>
    <t>ORD-2026015</t>
  </si>
  <si>
    <t>Smart Door Lock</t>
  </si>
  <si>
    <t>ORD-2026016</t>
  </si>
  <si>
    <t>ORD-2026017</t>
  </si>
  <si>
    <t>ORD-2026018</t>
  </si>
  <si>
    <t>ORD-2026019</t>
  </si>
  <si>
    <t>ORD-2026020</t>
  </si>
  <si>
    <t>ORD-2026021</t>
  </si>
  <si>
    <t>ORD-2026022</t>
  </si>
  <si>
    <t>ORD-2026023</t>
  </si>
  <si>
    <t>Ivy</t>
  </si>
  <si>
    <t>ORD-2026024</t>
  </si>
  <si>
    <t>ORD-2026025</t>
  </si>
  <si>
    <t>ORD-2026026</t>
  </si>
  <si>
    <t>ORD-2026027</t>
  </si>
  <si>
    <t>ORD-2026028</t>
  </si>
  <si>
    <t>ORD-2026029</t>
  </si>
  <si>
    <t>Chong</t>
  </si>
  <si>
    <t>ORD-2026030</t>
  </si>
  <si>
    <t>ORD-2026031</t>
  </si>
  <si>
    <t>ORD-2026032</t>
  </si>
  <si>
    <t>ORD-2026033</t>
  </si>
  <si>
    <t>ORD-2026034</t>
  </si>
  <si>
    <t>ORD-2026035</t>
  </si>
  <si>
    <t>ORD-2026036</t>
  </si>
  <si>
    <t>ORD-2026037</t>
  </si>
  <si>
    <t>ORD-2026038</t>
  </si>
  <si>
    <t>ORD-2026039</t>
  </si>
  <si>
    <t>ORD-2026040</t>
  </si>
  <si>
    <t>ORD-2026041</t>
  </si>
  <si>
    <t>ORD-2026042</t>
  </si>
  <si>
    <t>ORD-2026043</t>
  </si>
  <si>
    <t>ORD-2026044</t>
  </si>
  <si>
    <t>ORD-2026045</t>
  </si>
  <si>
    <t>ORD-2026046</t>
  </si>
  <si>
    <t>ORD-2026047</t>
  </si>
  <si>
    <t>ORD-2026048</t>
  </si>
  <si>
    <t>ORD-2026049</t>
  </si>
  <si>
    <t>ORD-2026050</t>
  </si>
  <si>
    <t>ORD-2026051</t>
  </si>
  <si>
    <t>ORD-2026052</t>
  </si>
  <si>
    <t>ORD-2026053</t>
  </si>
  <si>
    <t>ORD-2026054</t>
  </si>
  <si>
    <t>ORD-2026055</t>
  </si>
  <si>
    <t>ORD-2026056</t>
  </si>
  <si>
    <t>ORD-2026057</t>
  </si>
  <si>
    <t>ORD-2026058</t>
  </si>
  <si>
    <t>ORD-2026059</t>
  </si>
  <si>
    <t>ORD-2026060</t>
  </si>
  <si>
    <t>ORD-2026061</t>
  </si>
  <si>
    <t>ORD-2026062</t>
  </si>
  <si>
    <t>ORD-2026063</t>
  </si>
  <si>
    <t>ORD-2026064</t>
  </si>
  <si>
    <t>ORD-2026065</t>
  </si>
  <si>
    <t>ORD-2026066</t>
  </si>
  <si>
    <t>ORD-2026067</t>
  </si>
  <si>
    <t>ORD-2026068</t>
  </si>
  <si>
    <t>ORD-2026069</t>
  </si>
  <si>
    <t>ORD-2026070</t>
  </si>
  <si>
    <t>ORD-2026071</t>
  </si>
  <si>
    <t>ORD-2026072</t>
  </si>
  <si>
    <t>ORD-2026073</t>
  </si>
  <si>
    <t>ORD-2026074</t>
  </si>
  <si>
    <t>ORD-2026075</t>
  </si>
  <si>
    <t>ORD-2026076</t>
  </si>
  <si>
    <t>ORD-2026077</t>
  </si>
  <si>
    <t>ORD-2026078</t>
  </si>
  <si>
    <t>ORD-2026079</t>
  </si>
  <si>
    <t>ORD-2026080</t>
  </si>
  <si>
    <t>ORD-2026081</t>
  </si>
  <si>
    <t>ORD-2026082</t>
  </si>
  <si>
    <t>ORD-2026083</t>
  </si>
  <si>
    <t>ORD-2026084</t>
  </si>
  <si>
    <t>ORD-2026085</t>
  </si>
  <si>
    <t>ORD-2026086</t>
  </si>
  <si>
    <t>ORD-2026087</t>
  </si>
  <si>
    <t>ORD-2026088</t>
  </si>
  <si>
    <t>ORD-2026089</t>
  </si>
  <si>
    <t>ORD-2026090</t>
  </si>
  <si>
    <t>ORD-2026091</t>
  </si>
  <si>
    <t>ORD-2026092</t>
  </si>
  <si>
    <t>ORD-2026093</t>
  </si>
  <si>
    <t>ORD-2026094</t>
  </si>
  <si>
    <t>ORD-2026095</t>
  </si>
  <si>
    <t>ORD-2026096</t>
  </si>
  <si>
    <t>ORD-2026097</t>
  </si>
  <si>
    <t>ORD-2026098</t>
  </si>
  <si>
    <t>ORD-2026099</t>
  </si>
  <si>
    <t>ORD-2026100</t>
  </si>
  <si>
    <t>ORD-2026101</t>
  </si>
  <si>
    <t>ORD-2026102</t>
  </si>
  <si>
    <t>ORD-2026103</t>
  </si>
  <si>
    <t>ORD-2026104</t>
  </si>
  <si>
    <t>ORD-2026105</t>
  </si>
  <si>
    <t>ORD-2026106</t>
  </si>
  <si>
    <t>ORD-2026107</t>
  </si>
  <si>
    <t>ORD-2026108</t>
  </si>
  <si>
    <t>ORD-2026109</t>
  </si>
  <si>
    <t>ORD-2026110</t>
  </si>
  <si>
    <t>ORD-2026111</t>
  </si>
  <si>
    <t>ORD-2026112</t>
  </si>
  <si>
    <t>ORD-2026113</t>
  </si>
  <si>
    <t>ORD-2026114</t>
  </si>
  <si>
    <t>ORD-2026115</t>
  </si>
  <si>
    <t>ORD-2026116</t>
  </si>
  <si>
    <t>ORD-2026117</t>
  </si>
  <si>
    <t>ORD-2026118</t>
  </si>
  <si>
    <t>ORD-2026119</t>
  </si>
  <si>
    <t>ORD-2026120</t>
  </si>
  <si>
    <t>ORD-2026121</t>
  </si>
  <si>
    <t>ORD-2026122</t>
  </si>
  <si>
    <t>ORD-2026123</t>
  </si>
  <si>
    <t>ORD-2026124</t>
  </si>
  <si>
    <t>ORD-2026125</t>
  </si>
  <si>
    <t>ORD-2026126</t>
  </si>
  <si>
    <t>ORD-2026127</t>
  </si>
  <si>
    <t>ORD-2026128</t>
  </si>
  <si>
    <t>ORD-2026129</t>
  </si>
  <si>
    <t>ORD-2026130</t>
  </si>
  <si>
    <t>ORD-2026131</t>
  </si>
  <si>
    <t>ORD-2026132</t>
  </si>
  <si>
    <t>ORD-2026133</t>
  </si>
  <si>
    <t>ORD-2026134</t>
  </si>
  <si>
    <t>ORD-2026135</t>
  </si>
  <si>
    <t>ORD-2026136</t>
  </si>
  <si>
    <t>ORD-2026137</t>
  </si>
  <si>
    <t>ORD-2026138</t>
  </si>
  <si>
    <t>ORD-2026139</t>
  </si>
  <si>
    <t>ORD-2026140</t>
  </si>
  <si>
    <t>ORD-2026141</t>
  </si>
  <si>
    <t>ORD-2026142</t>
  </si>
  <si>
    <t>ORD-2026143</t>
  </si>
  <si>
    <t>ORD-2026144</t>
  </si>
  <si>
    <t>ORD-2026145</t>
  </si>
  <si>
    <t>ORD-2026146</t>
  </si>
  <si>
    <t>ORD-2026147</t>
  </si>
  <si>
    <t>ORD-2026148</t>
  </si>
  <si>
    <t>ORD-2026149</t>
  </si>
  <si>
    <t>ORD-2026150</t>
  </si>
  <si>
    <t>ORD-2026151</t>
  </si>
  <si>
    <t>ORD-2026152</t>
  </si>
  <si>
    <t>ORD-2026153</t>
  </si>
  <si>
    <t>ORD-2026154</t>
  </si>
  <si>
    <t>ORD-2026155</t>
  </si>
  <si>
    <t>ORD-2026156</t>
  </si>
  <si>
    <t>ORD-2026157</t>
  </si>
  <si>
    <t>ORD-2026158</t>
  </si>
  <si>
    <t>ORD-2026159</t>
  </si>
  <si>
    <t>ORD-2026160</t>
  </si>
  <si>
    <t>ORD-2026161</t>
  </si>
  <si>
    <t>ORD-2026162</t>
  </si>
  <si>
    <t>ORD-2026163</t>
  </si>
  <si>
    <t>ORD-2026164</t>
  </si>
  <si>
    <t>ORD-2026165</t>
  </si>
  <si>
    <t>ORD-2026166</t>
  </si>
  <si>
    <t>ORD-2026167</t>
  </si>
  <si>
    <t>ORD-2026168</t>
  </si>
  <si>
    <t>ORD-2026169</t>
  </si>
  <si>
    <t>ORD-2026170</t>
  </si>
  <si>
    <t>ORD-2026171</t>
  </si>
  <si>
    <t>ORD-2026172</t>
  </si>
  <si>
    <t>ORD-2026173</t>
  </si>
  <si>
    <t>ORD-2026174</t>
  </si>
  <si>
    <t>ORD-2026175</t>
  </si>
  <si>
    <t>ORD-2026176</t>
  </si>
  <si>
    <t>ORD-2026177</t>
  </si>
  <si>
    <t>ORD-2026178</t>
  </si>
  <si>
    <t>ORD-2026179</t>
  </si>
  <si>
    <t>ORD-2026180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</si>
</sst>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T181">
  <autoFilter ref="A1:T181" xr:uid="{00000000-0009-0000-0100-000001000000}"/>
  <tableColumns count="20">
    <tableColumn id="1" xr3:uid="{00000000-0010-0000-0000-000001000000}" name="Order_ID"/>
    <tableColumn id="2" xr3:uid="{00000000-0010-0000-0000-000002000000}" name="Order_Date"/>
    <tableColumn id="3" xr3:uid="{00000000-0010-0000-0000-000003000000}" name="Month"/>
    <tableColumn id="4" xr3:uid="{00000000-0010-0000-0000-000004000000}" name="Region"/>
    <tableColumn id="5" xr3:uid="{00000000-0010-0000-0000-000005000000}" name="Sales_Rep"/>
    <tableColumn id="6" xr3:uid="{00000000-0010-0000-0000-000006000000}" name="Customer_Type"/>
    <tableColumn id="7" xr3:uid="{00000000-0010-0000-0000-000007000000}" name="Channel"/>
    <tableColumn id="8" xr3:uid="{00000000-0010-0000-0000-000008000000}" name="Product_Category"/>
    <tableColumn id="9" xr3:uid="{00000000-0010-0000-0000-000009000000}" name="Product"/>
    <tableColumn id="10" xr3:uid="{00000000-0010-0000-0000-00000A000000}" name="Units_Sold"/>
    <tableColumn id="11" xr3:uid="{00000000-0010-0000-0000-00000B000000}" name="Unit_Price_RM"/>
    <tableColumn id="12" xr3:uid="{00000000-0010-0000-0000-00000C000000}" name="Discount_%"/>
    <tableColumn id="13" xr3:uid="{00000000-0010-0000-0000-00000D000000}" name="Gross_Sales_RM"/>
    <tableColumn id="14" xr3:uid="{00000000-0010-0000-0000-00000E000000}" name="Discount_RM"/>
    <tableColumn id="15" xr3:uid="{00000000-0010-0000-0000-00000F000000}" name="Net_Sales_RM"/>
    <tableColumn id="16" xr3:uid="{00000000-0010-0000-0000-000010000000}" name="Cost_RM"/>
    <tableColumn id="17" xr3:uid="{00000000-0010-0000-0000-000011000000}" name="Profit_RM"/>
    <tableColumn id="18" xr3:uid="{00000000-0010-0000-0000-000012000000}" name="Profit_Margin_%"/>
    <tableColumn id="19" xr3:uid="{00000000-0010-0000-0000-000013000000}" name="Customer_Rating"/>
    <tableColumn id="20" xr3:uid="{00000000-0010-0000-0000-000014000000}" name="Delive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1"/>
  <sheetViews>
    <sheetView showGridLines="0"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4" customWidth="1"/>
    <col min="2" max="2" width="13" customWidth="1"/>
    <col min="3" max="3" width="11" customWidth="1"/>
    <col min="4" max="4" width="16" customWidth="1"/>
    <col min="5" max="5" width="12" customWidth="1"/>
    <col min="6" max="6" width="15" customWidth="1"/>
    <col min="7" max="7" width="14" customWidth="1"/>
    <col min="8" max="8" width="18" customWidth="1"/>
    <col min="9" max="9" width="22" customWidth="1"/>
    <col min="10" max="10" width="12" customWidth="1"/>
    <col min="11" max="11" width="14" customWidth="1"/>
    <col min="12" max="12" width="12" customWidth="1"/>
    <col min="13" max="13" width="16" customWidth="1"/>
    <col min="14" max="14" width="14" customWidth="1"/>
    <col min="15" max="15" width="15" customWidth="1"/>
    <col min="16" max="17" width="13" customWidth="1"/>
    <col min="18" max="19" width="15" customWidth="1"/>
    <col min="20" max="20" width="16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s="2">
        <v>46186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</v>
      </c>
      <c r="K2">
        <v>612.1</v>
      </c>
      <c r="L2" s="3">
        <v>0.1</v>
      </c>
      <c r="M2">
        <f t="shared" ref="M2:M33" si="0">J2*K2</f>
        <v>4896.8</v>
      </c>
      <c r="N2">
        <f t="shared" ref="N2:N33" si="1">M2*L2</f>
        <v>489.68000000000006</v>
      </c>
      <c r="O2">
        <f t="shared" ref="O2:O33" si="2">M2-N2</f>
        <v>4407.12</v>
      </c>
      <c r="P2">
        <f>M2*0.58</f>
        <v>2840.1439999999998</v>
      </c>
      <c r="Q2">
        <f t="shared" ref="Q2:Q33" si="3">O2-P2</f>
        <v>1566.9760000000001</v>
      </c>
      <c r="R2" s="3">
        <f t="shared" ref="R2:R33" si="4">Q2/O2</f>
        <v>0.35555555555555557</v>
      </c>
      <c r="S2">
        <v>3</v>
      </c>
      <c r="T2" t="s">
        <v>28</v>
      </c>
    </row>
    <row r="3" spans="1:20" x14ac:dyDescent="0.35">
      <c r="A3" t="s">
        <v>29</v>
      </c>
      <c r="B3" s="2">
        <v>46131</v>
      </c>
      <c r="C3" t="s">
        <v>30</v>
      </c>
      <c r="D3" t="s">
        <v>22</v>
      </c>
      <c r="E3" t="s">
        <v>31</v>
      </c>
      <c r="F3" t="s">
        <v>24</v>
      </c>
      <c r="G3" t="s">
        <v>25</v>
      </c>
      <c r="H3" t="s">
        <v>26</v>
      </c>
      <c r="I3" t="s">
        <v>27</v>
      </c>
      <c r="J3">
        <v>40</v>
      </c>
      <c r="K3">
        <v>536.67999999999995</v>
      </c>
      <c r="L3" s="3">
        <v>0.03</v>
      </c>
      <c r="M3">
        <f t="shared" si="0"/>
        <v>21467.199999999997</v>
      </c>
      <c r="N3">
        <f t="shared" si="1"/>
        <v>644.01599999999985</v>
      </c>
      <c r="O3">
        <f t="shared" si="2"/>
        <v>20823.183999999997</v>
      </c>
      <c r="P3">
        <f>M3*0.58</f>
        <v>12450.975999999997</v>
      </c>
      <c r="Q3">
        <f t="shared" si="3"/>
        <v>8372.2080000000005</v>
      </c>
      <c r="R3" s="3">
        <f t="shared" si="4"/>
        <v>0.40206185567010316</v>
      </c>
      <c r="S3">
        <v>5</v>
      </c>
      <c r="T3" t="s">
        <v>28</v>
      </c>
    </row>
    <row r="4" spans="1:20" x14ac:dyDescent="0.35">
      <c r="A4" t="s">
        <v>32</v>
      </c>
      <c r="B4" s="2">
        <v>46130</v>
      </c>
      <c r="C4" t="s">
        <v>30</v>
      </c>
      <c r="D4" t="s">
        <v>33</v>
      </c>
      <c r="E4" t="s">
        <v>23</v>
      </c>
      <c r="F4" t="s">
        <v>34</v>
      </c>
      <c r="G4" t="s">
        <v>35</v>
      </c>
      <c r="H4" t="s">
        <v>36</v>
      </c>
      <c r="I4" t="s">
        <v>37</v>
      </c>
      <c r="J4">
        <v>12</v>
      </c>
      <c r="K4">
        <v>445.04</v>
      </c>
      <c r="L4" s="3">
        <v>0.05</v>
      </c>
      <c r="M4">
        <f t="shared" si="0"/>
        <v>5340.4800000000005</v>
      </c>
      <c r="N4">
        <f t="shared" si="1"/>
        <v>267.02400000000006</v>
      </c>
      <c r="O4">
        <f t="shared" si="2"/>
        <v>5073.4560000000001</v>
      </c>
      <c r="P4">
        <f>M4*0.55</f>
        <v>2937.2640000000006</v>
      </c>
      <c r="Q4">
        <f t="shared" si="3"/>
        <v>2136.1919999999996</v>
      </c>
      <c r="R4" s="3">
        <f t="shared" si="4"/>
        <v>0.42105263157894729</v>
      </c>
      <c r="S4">
        <v>4</v>
      </c>
      <c r="T4" t="s">
        <v>38</v>
      </c>
    </row>
    <row r="5" spans="1:20" x14ac:dyDescent="0.35">
      <c r="A5" t="s">
        <v>39</v>
      </c>
      <c r="B5" s="2">
        <v>46078</v>
      </c>
      <c r="C5" t="s">
        <v>40</v>
      </c>
      <c r="D5" t="s">
        <v>22</v>
      </c>
      <c r="E5" t="s">
        <v>31</v>
      </c>
      <c r="F5" t="s">
        <v>24</v>
      </c>
      <c r="G5" t="s">
        <v>41</v>
      </c>
      <c r="H5" t="s">
        <v>42</v>
      </c>
      <c r="I5" t="s">
        <v>43</v>
      </c>
      <c r="J5">
        <v>24</v>
      </c>
      <c r="K5">
        <v>166.52</v>
      </c>
      <c r="L5" s="3">
        <v>0</v>
      </c>
      <c r="M5">
        <f t="shared" si="0"/>
        <v>3996.4800000000005</v>
      </c>
      <c r="N5">
        <f t="shared" si="1"/>
        <v>0</v>
      </c>
      <c r="O5">
        <f t="shared" si="2"/>
        <v>3996.4800000000005</v>
      </c>
      <c r="P5">
        <f>M5*0.5</f>
        <v>1998.2400000000002</v>
      </c>
      <c r="Q5">
        <f t="shared" si="3"/>
        <v>1998.2400000000002</v>
      </c>
      <c r="R5" s="3">
        <f t="shared" si="4"/>
        <v>0.5</v>
      </c>
      <c r="S5">
        <v>5</v>
      </c>
      <c r="T5" t="s">
        <v>44</v>
      </c>
    </row>
    <row r="6" spans="1:20" x14ac:dyDescent="0.35">
      <c r="A6" t="s">
        <v>45</v>
      </c>
      <c r="B6" s="2">
        <v>46160</v>
      </c>
      <c r="C6" t="s">
        <v>46</v>
      </c>
      <c r="D6" t="s">
        <v>33</v>
      </c>
      <c r="E6" t="s">
        <v>31</v>
      </c>
      <c r="F6" t="s">
        <v>34</v>
      </c>
      <c r="G6" t="s">
        <v>47</v>
      </c>
      <c r="H6" t="s">
        <v>26</v>
      </c>
      <c r="I6" t="s">
        <v>27</v>
      </c>
      <c r="J6">
        <v>41</v>
      </c>
      <c r="K6">
        <v>636.30999999999995</v>
      </c>
      <c r="L6" s="3">
        <v>0.05</v>
      </c>
      <c r="M6">
        <f t="shared" si="0"/>
        <v>26088.71</v>
      </c>
      <c r="N6">
        <f t="shared" si="1"/>
        <v>1304.4355</v>
      </c>
      <c r="O6">
        <f t="shared" si="2"/>
        <v>24784.2745</v>
      </c>
      <c r="P6">
        <f>M6*0.58</f>
        <v>15131.451799999999</v>
      </c>
      <c r="Q6">
        <f t="shared" si="3"/>
        <v>9652.8227000000006</v>
      </c>
      <c r="R6" s="3">
        <f t="shared" si="4"/>
        <v>0.38947368421052636</v>
      </c>
      <c r="S6">
        <v>5</v>
      </c>
      <c r="T6" t="s">
        <v>38</v>
      </c>
    </row>
    <row r="7" spans="1:20" x14ac:dyDescent="0.35">
      <c r="A7" t="s">
        <v>48</v>
      </c>
      <c r="B7" s="2">
        <v>46203</v>
      </c>
      <c r="C7" t="s">
        <v>21</v>
      </c>
      <c r="D7" t="s">
        <v>22</v>
      </c>
      <c r="E7" t="s">
        <v>49</v>
      </c>
      <c r="F7" t="s">
        <v>34</v>
      </c>
      <c r="G7" t="s">
        <v>47</v>
      </c>
      <c r="H7" t="s">
        <v>26</v>
      </c>
      <c r="I7" t="s">
        <v>27</v>
      </c>
      <c r="J7">
        <v>16</v>
      </c>
      <c r="K7">
        <v>634.11</v>
      </c>
      <c r="L7" s="3">
        <v>0.08</v>
      </c>
      <c r="M7">
        <f t="shared" si="0"/>
        <v>10145.76</v>
      </c>
      <c r="N7">
        <f t="shared" si="1"/>
        <v>811.66079999999999</v>
      </c>
      <c r="O7">
        <f t="shared" si="2"/>
        <v>9334.0992000000006</v>
      </c>
      <c r="P7">
        <f>M7*0.58</f>
        <v>5884.5407999999998</v>
      </c>
      <c r="Q7">
        <f t="shared" si="3"/>
        <v>3449.5584000000008</v>
      </c>
      <c r="R7" s="3">
        <f t="shared" si="4"/>
        <v>0.36956521739130443</v>
      </c>
      <c r="S7">
        <v>4</v>
      </c>
      <c r="T7" t="s">
        <v>44</v>
      </c>
    </row>
    <row r="8" spans="1:20" x14ac:dyDescent="0.35">
      <c r="A8" t="s">
        <v>50</v>
      </c>
      <c r="B8" s="2">
        <v>46185</v>
      </c>
      <c r="C8" t="s">
        <v>21</v>
      </c>
      <c r="D8" t="s">
        <v>51</v>
      </c>
      <c r="E8" t="s">
        <v>52</v>
      </c>
      <c r="F8" t="s">
        <v>24</v>
      </c>
      <c r="G8" t="s">
        <v>47</v>
      </c>
      <c r="H8" t="s">
        <v>42</v>
      </c>
      <c r="I8" t="s">
        <v>43</v>
      </c>
      <c r="J8">
        <v>19</v>
      </c>
      <c r="K8">
        <v>169.66</v>
      </c>
      <c r="L8" s="3">
        <v>0.12</v>
      </c>
      <c r="M8">
        <f t="shared" si="0"/>
        <v>3223.54</v>
      </c>
      <c r="N8">
        <f t="shared" si="1"/>
        <v>386.82479999999998</v>
      </c>
      <c r="O8">
        <f t="shared" si="2"/>
        <v>2836.7152000000001</v>
      </c>
      <c r="P8">
        <f>M8*0.5</f>
        <v>1611.77</v>
      </c>
      <c r="Q8">
        <f t="shared" si="3"/>
        <v>1224.9452000000001</v>
      </c>
      <c r="R8" s="3">
        <f t="shared" si="4"/>
        <v>0.43181818181818182</v>
      </c>
      <c r="S8">
        <v>5</v>
      </c>
      <c r="T8" t="s">
        <v>38</v>
      </c>
    </row>
    <row r="9" spans="1:20" x14ac:dyDescent="0.35">
      <c r="A9" t="s">
        <v>53</v>
      </c>
      <c r="B9" s="2">
        <v>46178</v>
      </c>
      <c r="C9" t="s">
        <v>21</v>
      </c>
      <c r="D9" t="s">
        <v>51</v>
      </c>
      <c r="E9" t="s">
        <v>49</v>
      </c>
      <c r="F9" t="s">
        <v>34</v>
      </c>
      <c r="G9" t="s">
        <v>25</v>
      </c>
      <c r="H9" t="s">
        <v>26</v>
      </c>
      <c r="I9" t="s">
        <v>54</v>
      </c>
      <c r="J9">
        <v>19</v>
      </c>
      <c r="K9">
        <v>346.55</v>
      </c>
      <c r="L9" s="3">
        <v>0.12</v>
      </c>
      <c r="M9">
        <f t="shared" si="0"/>
        <v>6584.45</v>
      </c>
      <c r="N9">
        <f t="shared" si="1"/>
        <v>790.1339999999999</v>
      </c>
      <c r="O9">
        <f t="shared" si="2"/>
        <v>5794.3159999999998</v>
      </c>
      <c r="P9">
        <f>M9*0.54</f>
        <v>3555.6030000000001</v>
      </c>
      <c r="Q9">
        <f t="shared" si="3"/>
        <v>2238.7129999999997</v>
      </c>
      <c r="R9" s="3">
        <f t="shared" si="4"/>
        <v>0.38636363636363635</v>
      </c>
      <c r="S9">
        <v>5</v>
      </c>
      <c r="T9" t="s">
        <v>28</v>
      </c>
    </row>
    <row r="10" spans="1:20" x14ac:dyDescent="0.35">
      <c r="A10" t="s">
        <v>55</v>
      </c>
      <c r="B10" s="2">
        <v>46079</v>
      </c>
      <c r="C10" t="s">
        <v>40</v>
      </c>
      <c r="D10" t="s">
        <v>56</v>
      </c>
      <c r="E10" t="s">
        <v>57</v>
      </c>
      <c r="F10" t="s">
        <v>34</v>
      </c>
      <c r="G10" t="s">
        <v>25</v>
      </c>
      <c r="H10" t="s">
        <v>26</v>
      </c>
      <c r="I10" t="s">
        <v>54</v>
      </c>
      <c r="J10">
        <v>22</v>
      </c>
      <c r="K10">
        <v>310.07</v>
      </c>
      <c r="L10" s="3">
        <v>0</v>
      </c>
      <c r="M10">
        <f t="shared" si="0"/>
        <v>6821.54</v>
      </c>
      <c r="N10">
        <f t="shared" si="1"/>
        <v>0</v>
      </c>
      <c r="O10">
        <f t="shared" si="2"/>
        <v>6821.54</v>
      </c>
      <c r="P10">
        <f>M10*0.54</f>
        <v>3683.6316000000002</v>
      </c>
      <c r="Q10">
        <f t="shared" si="3"/>
        <v>3137.9083999999998</v>
      </c>
      <c r="R10" s="3">
        <f t="shared" si="4"/>
        <v>0.45999999999999996</v>
      </c>
      <c r="S10">
        <v>4</v>
      </c>
      <c r="T10" t="s">
        <v>28</v>
      </c>
    </row>
    <row r="11" spans="1:20" x14ac:dyDescent="0.35">
      <c r="A11" t="s">
        <v>58</v>
      </c>
      <c r="B11" s="2">
        <v>46103</v>
      </c>
      <c r="C11" t="s">
        <v>59</v>
      </c>
      <c r="D11" t="s">
        <v>33</v>
      </c>
      <c r="E11" t="s">
        <v>60</v>
      </c>
      <c r="F11" t="s">
        <v>24</v>
      </c>
      <c r="G11" t="s">
        <v>41</v>
      </c>
      <c r="H11" t="s">
        <v>36</v>
      </c>
      <c r="I11" t="s">
        <v>37</v>
      </c>
      <c r="J11">
        <v>10</v>
      </c>
      <c r="K11">
        <v>407.12</v>
      </c>
      <c r="L11" s="3">
        <v>0.1</v>
      </c>
      <c r="M11">
        <f t="shared" si="0"/>
        <v>4071.2</v>
      </c>
      <c r="N11">
        <f t="shared" si="1"/>
        <v>407.12</v>
      </c>
      <c r="O11">
        <f t="shared" si="2"/>
        <v>3664.08</v>
      </c>
      <c r="P11">
        <f>M11*0.55</f>
        <v>2239.16</v>
      </c>
      <c r="Q11">
        <f t="shared" si="3"/>
        <v>1424.92</v>
      </c>
      <c r="R11" s="3">
        <f t="shared" si="4"/>
        <v>0.3888888888888889</v>
      </c>
      <c r="S11">
        <v>5</v>
      </c>
      <c r="T11" t="s">
        <v>38</v>
      </c>
    </row>
    <row r="12" spans="1:20" x14ac:dyDescent="0.35">
      <c r="A12" t="s">
        <v>61</v>
      </c>
      <c r="B12" s="2">
        <v>46172</v>
      </c>
      <c r="C12" t="s">
        <v>46</v>
      </c>
      <c r="D12" t="s">
        <v>62</v>
      </c>
      <c r="E12" t="s">
        <v>60</v>
      </c>
      <c r="F12" t="s">
        <v>24</v>
      </c>
      <c r="G12" t="s">
        <v>47</v>
      </c>
      <c r="H12" t="s">
        <v>63</v>
      </c>
      <c r="I12" t="s">
        <v>64</v>
      </c>
      <c r="J12">
        <v>10</v>
      </c>
      <c r="K12">
        <v>97.08</v>
      </c>
      <c r="L12" s="3">
        <v>0</v>
      </c>
      <c r="M12">
        <f t="shared" si="0"/>
        <v>970.8</v>
      </c>
      <c r="N12">
        <f t="shared" si="1"/>
        <v>0</v>
      </c>
      <c r="O12">
        <f t="shared" si="2"/>
        <v>970.8</v>
      </c>
      <c r="P12">
        <f>M12*0.48</f>
        <v>465.98399999999998</v>
      </c>
      <c r="Q12">
        <f t="shared" si="3"/>
        <v>504.81599999999997</v>
      </c>
      <c r="R12" s="3">
        <f t="shared" si="4"/>
        <v>0.52</v>
      </c>
      <c r="S12">
        <v>3</v>
      </c>
      <c r="T12" t="s">
        <v>38</v>
      </c>
    </row>
    <row r="13" spans="1:20" x14ac:dyDescent="0.35">
      <c r="A13" t="s">
        <v>65</v>
      </c>
      <c r="B13" s="2">
        <v>46062</v>
      </c>
      <c r="C13" t="s">
        <v>40</v>
      </c>
      <c r="D13" t="s">
        <v>51</v>
      </c>
      <c r="E13" t="s">
        <v>60</v>
      </c>
      <c r="F13" t="s">
        <v>34</v>
      </c>
      <c r="G13" t="s">
        <v>35</v>
      </c>
      <c r="H13" t="s">
        <v>26</v>
      </c>
      <c r="I13" t="s">
        <v>54</v>
      </c>
      <c r="J13">
        <v>40</v>
      </c>
      <c r="K13">
        <v>346.96</v>
      </c>
      <c r="L13" s="3">
        <v>0.1</v>
      </c>
      <c r="M13">
        <f t="shared" si="0"/>
        <v>13878.4</v>
      </c>
      <c r="N13">
        <f t="shared" si="1"/>
        <v>1387.8400000000001</v>
      </c>
      <c r="O13">
        <f t="shared" si="2"/>
        <v>12490.56</v>
      </c>
      <c r="P13">
        <f>M13*0.54</f>
        <v>7494.3360000000002</v>
      </c>
      <c r="Q13">
        <f t="shared" si="3"/>
        <v>4996.2239999999993</v>
      </c>
      <c r="R13" s="3">
        <f t="shared" si="4"/>
        <v>0.39999999999999997</v>
      </c>
      <c r="S13">
        <v>4</v>
      </c>
      <c r="T13" t="s">
        <v>28</v>
      </c>
    </row>
    <row r="14" spans="1:20" x14ac:dyDescent="0.35">
      <c r="A14" t="s">
        <v>66</v>
      </c>
      <c r="B14" s="2">
        <v>46025</v>
      </c>
      <c r="C14" t="s">
        <v>67</v>
      </c>
      <c r="D14" t="s">
        <v>22</v>
      </c>
      <c r="E14" t="s">
        <v>23</v>
      </c>
      <c r="F14" t="s">
        <v>24</v>
      </c>
      <c r="G14" t="s">
        <v>47</v>
      </c>
      <c r="H14" t="s">
        <v>26</v>
      </c>
      <c r="I14" t="s">
        <v>54</v>
      </c>
      <c r="J14">
        <v>29</v>
      </c>
      <c r="K14">
        <v>295.01</v>
      </c>
      <c r="L14" s="3">
        <v>0</v>
      </c>
      <c r="M14">
        <f t="shared" si="0"/>
        <v>8555.2899999999991</v>
      </c>
      <c r="N14">
        <f t="shared" si="1"/>
        <v>0</v>
      </c>
      <c r="O14">
        <f t="shared" si="2"/>
        <v>8555.2899999999991</v>
      </c>
      <c r="P14">
        <f>M14*0.54</f>
        <v>4619.8566000000001</v>
      </c>
      <c r="Q14">
        <f t="shared" si="3"/>
        <v>3935.433399999999</v>
      </c>
      <c r="R14" s="3">
        <f t="shared" si="4"/>
        <v>0.45999999999999991</v>
      </c>
      <c r="S14">
        <v>5</v>
      </c>
      <c r="T14" t="s">
        <v>38</v>
      </c>
    </row>
    <row r="15" spans="1:20" x14ac:dyDescent="0.35">
      <c r="A15" t="s">
        <v>68</v>
      </c>
      <c r="B15" s="2">
        <v>46151</v>
      </c>
      <c r="C15" t="s">
        <v>46</v>
      </c>
      <c r="D15" t="s">
        <v>62</v>
      </c>
      <c r="E15" t="s">
        <v>31</v>
      </c>
      <c r="F15" t="s">
        <v>34</v>
      </c>
      <c r="G15" t="s">
        <v>47</v>
      </c>
      <c r="H15" t="s">
        <v>36</v>
      </c>
      <c r="I15" t="s">
        <v>37</v>
      </c>
      <c r="J15">
        <v>34</v>
      </c>
      <c r="K15">
        <v>437.55</v>
      </c>
      <c r="L15" s="3">
        <v>0.03</v>
      </c>
      <c r="M15">
        <f t="shared" si="0"/>
        <v>14876.7</v>
      </c>
      <c r="N15">
        <f t="shared" si="1"/>
        <v>446.30099999999999</v>
      </c>
      <c r="O15">
        <f t="shared" si="2"/>
        <v>14430.399000000001</v>
      </c>
      <c r="P15">
        <f>M15*0.55</f>
        <v>8182.1850000000013</v>
      </c>
      <c r="Q15">
        <f t="shared" si="3"/>
        <v>6248.2139999999999</v>
      </c>
      <c r="R15" s="3">
        <f t="shared" si="4"/>
        <v>0.43298969072164945</v>
      </c>
      <c r="S15">
        <v>4</v>
      </c>
      <c r="T15" t="s">
        <v>38</v>
      </c>
    </row>
    <row r="16" spans="1:20" x14ac:dyDescent="0.35">
      <c r="A16" t="s">
        <v>69</v>
      </c>
      <c r="B16" s="2">
        <v>46161</v>
      </c>
      <c r="C16" t="s">
        <v>46</v>
      </c>
      <c r="D16" t="s">
        <v>22</v>
      </c>
      <c r="E16" t="s">
        <v>52</v>
      </c>
      <c r="F16" t="s">
        <v>24</v>
      </c>
      <c r="G16" t="s">
        <v>41</v>
      </c>
      <c r="H16" t="s">
        <v>36</v>
      </c>
      <c r="I16" t="s">
        <v>70</v>
      </c>
      <c r="J16">
        <v>25</v>
      </c>
      <c r="K16">
        <v>821.81</v>
      </c>
      <c r="L16" s="3">
        <v>0.05</v>
      </c>
      <c r="M16">
        <f t="shared" si="0"/>
        <v>20545.25</v>
      </c>
      <c r="N16">
        <f t="shared" si="1"/>
        <v>1027.2625</v>
      </c>
      <c r="O16">
        <f t="shared" si="2"/>
        <v>19517.987499999999</v>
      </c>
      <c r="P16">
        <f>M16*0.6</f>
        <v>12327.15</v>
      </c>
      <c r="Q16">
        <f t="shared" si="3"/>
        <v>7190.8374999999996</v>
      </c>
      <c r="R16" s="3">
        <f t="shared" si="4"/>
        <v>0.36842105263157893</v>
      </c>
      <c r="S16">
        <v>4</v>
      </c>
      <c r="T16" t="s">
        <v>38</v>
      </c>
    </row>
    <row r="17" spans="1:20" x14ac:dyDescent="0.35">
      <c r="A17" t="s">
        <v>71</v>
      </c>
      <c r="B17" s="2">
        <v>46084</v>
      </c>
      <c r="C17" t="s">
        <v>59</v>
      </c>
      <c r="D17" t="s">
        <v>22</v>
      </c>
      <c r="E17" t="s">
        <v>31</v>
      </c>
      <c r="F17" t="s">
        <v>34</v>
      </c>
      <c r="G17" t="s">
        <v>41</v>
      </c>
      <c r="H17" t="s">
        <v>36</v>
      </c>
      <c r="I17" t="s">
        <v>70</v>
      </c>
      <c r="J17">
        <v>36</v>
      </c>
      <c r="K17">
        <v>804.88</v>
      </c>
      <c r="L17" s="3">
        <v>0.03</v>
      </c>
      <c r="M17">
        <f t="shared" si="0"/>
        <v>28975.68</v>
      </c>
      <c r="N17">
        <f t="shared" si="1"/>
        <v>869.2704</v>
      </c>
      <c r="O17">
        <f t="shared" si="2"/>
        <v>28106.409599999999</v>
      </c>
      <c r="P17">
        <f>M17*0.6</f>
        <v>17385.407999999999</v>
      </c>
      <c r="Q17">
        <f t="shared" si="3"/>
        <v>10721.0016</v>
      </c>
      <c r="R17" s="3">
        <f t="shared" si="4"/>
        <v>0.38144329896907214</v>
      </c>
      <c r="S17">
        <v>5</v>
      </c>
      <c r="T17" t="s">
        <v>44</v>
      </c>
    </row>
    <row r="18" spans="1:20" x14ac:dyDescent="0.35">
      <c r="A18" t="s">
        <v>72</v>
      </c>
      <c r="B18" s="2">
        <v>46163</v>
      </c>
      <c r="C18" t="s">
        <v>46</v>
      </c>
      <c r="D18" t="s">
        <v>56</v>
      </c>
      <c r="E18" t="s">
        <v>60</v>
      </c>
      <c r="F18" t="s">
        <v>34</v>
      </c>
      <c r="G18" t="s">
        <v>25</v>
      </c>
      <c r="H18" t="s">
        <v>36</v>
      </c>
      <c r="I18" t="s">
        <v>37</v>
      </c>
      <c r="J18">
        <v>14</v>
      </c>
      <c r="K18">
        <v>446.29</v>
      </c>
      <c r="L18" s="3">
        <v>0.08</v>
      </c>
      <c r="M18">
        <f t="shared" si="0"/>
        <v>6248.06</v>
      </c>
      <c r="N18">
        <f t="shared" si="1"/>
        <v>499.84480000000002</v>
      </c>
      <c r="O18">
        <f t="shared" si="2"/>
        <v>5748.2152000000006</v>
      </c>
      <c r="P18">
        <f>M18*0.55</f>
        <v>3436.4330000000004</v>
      </c>
      <c r="Q18">
        <f t="shared" si="3"/>
        <v>2311.7822000000001</v>
      </c>
      <c r="R18" s="3">
        <f t="shared" si="4"/>
        <v>0.40217391304347822</v>
      </c>
      <c r="S18">
        <v>5</v>
      </c>
      <c r="T18" t="s">
        <v>38</v>
      </c>
    </row>
    <row r="19" spans="1:20" x14ac:dyDescent="0.35">
      <c r="A19" t="s">
        <v>73</v>
      </c>
      <c r="B19" s="2">
        <v>46135</v>
      </c>
      <c r="C19" t="s">
        <v>30</v>
      </c>
      <c r="D19" t="s">
        <v>33</v>
      </c>
      <c r="E19" t="s">
        <v>31</v>
      </c>
      <c r="F19" t="s">
        <v>24</v>
      </c>
      <c r="G19" t="s">
        <v>25</v>
      </c>
      <c r="H19" t="s">
        <v>36</v>
      </c>
      <c r="I19" t="s">
        <v>70</v>
      </c>
      <c r="J19">
        <v>23</v>
      </c>
      <c r="K19">
        <v>693.16</v>
      </c>
      <c r="L19" s="3">
        <v>0.1</v>
      </c>
      <c r="M19">
        <f t="shared" si="0"/>
        <v>15942.679999999998</v>
      </c>
      <c r="N19">
        <f t="shared" si="1"/>
        <v>1594.268</v>
      </c>
      <c r="O19">
        <f t="shared" si="2"/>
        <v>14348.411999999998</v>
      </c>
      <c r="P19">
        <f>M19*0.6</f>
        <v>9565.6079999999984</v>
      </c>
      <c r="Q19">
        <f t="shared" si="3"/>
        <v>4782.8040000000001</v>
      </c>
      <c r="R19" s="3">
        <f t="shared" si="4"/>
        <v>0.33333333333333337</v>
      </c>
      <c r="S19">
        <v>4</v>
      </c>
      <c r="T19" t="s">
        <v>28</v>
      </c>
    </row>
    <row r="20" spans="1:20" x14ac:dyDescent="0.35">
      <c r="A20" t="s">
        <v>74</v>
      </c>
      <c r="B20" s="2">
        <v>46079</v>
      </c>
      <c r="C20" t="s">
        <v>40</v>
      </c>
      <c r="D20" t="s">
        <v>22</v>
      </c>
      <c r="E20" t="s">
        <v>57</v>
      </c>
      <c r="F20" t="s">
        <v>24</v>
      </c>
      <c r="G20" t="s">
        <v>25</v>
      </c>
      <c r="H20" t="s">
        <v>26</v>
      </c>
      <c r="I20" t="s">
        <v>27</v>
      </c>
      <c r="J20">
        <v>4</v>
      </c>
      <c r="K20">
        <v>633.32000000000005</v>
      </c>
      <c r="L20" s="3">
        <v>0</v>
      </c>
      <c r="M20">
        <f t="shared" si="0"/>
        <v>2533.2800000000002</v>
      </c>
      <c r="N20">
        <f t="shared" si="1"/>
        <v>0</v>
      </c>
      <c r="O20">
        <f t="shared" si="2"/>
        <v>2533.2800000000002</v>
      </c>
      <c r="P20">
        <f>M20*0.58</f>
        <v>1469.3024</v>
      </c>
      <c r="Q20">
        <f t="shared" si="3"/>
        <v>1063.9776000000002</v>
      </c>
      <c r="R20" s="3">
        <f t="shared" si="4"/>
        <v>0.42000000000000004</v>
      </c>
      <c r="S20">
        <v>5</v>
      </c>
      <c r="T20" t="s">
        <v>38</v>
      </c>
    </row>
    <row r="21" spans="1:20" x14ac:dyDescent="0.35">
      <c r="A21" t="s">
        <v>75</v>
      </c>
      <c r="B21" s="2">
        <v>46094</v>
      </c>
      <c r="C21" t="s">
        <v>59</v>
      </c>
      <c r="D21" t="s">
        <v>33</v>
      </c>
      <c r="E21" t="s">
        <v>49</v>
      </c>
      <c r="F21" t="s">
        <v>34</v>
      </c>
      <c r="G21" t="s">
        <v>25</v>
      </c>
      <c r="H21" t="s">
        <v>26</v>
      </c>
      <c r="I21" t="s">
        <v>54</v>
      </c>
      <c r="J21">
        <v>38</v>
      </c>
      <c r="K21">
        <v>320.93</v>
      </c>
      <c r="L21" s="3">
        <v>0.03</v>
      </c>
      <c r="M21">
        <f t="shared" si="0"/>
        <v>12195.34</v>
      </c>
      <c r="N21">
        <f t="shared" si="1"/>
        <v>365.86019999999996</v>
      </c>
      <c r="O21">
        <f t="shared" si="2"/>
        <v>11829.479800000001</v>
      </c>
      <c r="P21">
        <f>M21*0.54</f>
        <v>6585.4836000000005</v>
      </c>
      <c r="Q21">
        <f t="shared" si="3"/>
        <v>5243.9962000000005</v>
      </c>
      <c r="R21" s="3">
        <f t="shared" si="4"/>
        <v>0.44329896907216493</v>
      </c>
      <c r="S21">
        <v>4</v>
      </c>
      <c r="T21" t="s">
        <v>44</v>
      </c>
    </row>
    <row r="22" spans="1:20" x14ac:dyDescent="0.35">
      <c r="A22" t="s">
        <v>76</v>
      </c>
      <c r="B22" s="2">
        <v>46071</v>
      </c>
      <c r="C22" t="s">
        <v>40</v>
      </c>
      <c r="D22" t="s">
        <v>22</v>
      </c>
      <c r="E22" t="s">
        <v>60</v>
      </c>
      <c r="F22" t="s">
        <v>34</v>
      </c>
      <c r="G22" t="s">
        <v>47</v>
      </c>
      <c r="H22" t="s">
        <v>26</v>
      </c>
      <c r="I22" t="s">
        <v>27</v>
      </c>
      <c r="J22">
        <v>31</v>
      </c>
      <c r="K22">
        <v>633.80999999999995</v>
      </c>
      <c r="L22" s="3">
        <v>0</v>
      </c>
      <c r="M22">
        <f t="shared" si="0"/>
        <v>19648.109999999997</v>
      </c>
      <c r="N22">
        <f t="shared" si="1"/>
        <v>0</v>
      </c>
      <c r="O22">
        <f t="shared" si="2"/>
        <v>19648.109999999997</v>
      </c>
      <c r="P22">
        <f>M22*0.58</f>
        <v>11395.903799999998</v>
      </c>
      <c r="Q22">
        <f t="shared" si="3"/>
        <v>8252.2061999999987</v>
      </c>
      <c r="R22" s="3">
        <f t="shared" si="4"/>
        <v>0.42</v>
      </c>
      <c r="S22">
        <v>5</v>
      </c>
      <c r="T22" t="s">
        <v>38</v>
      </c>
    </row>
    <row r="23" spans="1:20" x14ac:dyDescent="0.35">
      <c r="A23" t="s">
        <v>77</v>
      </c>
      <c r="B23" s="2">
        <v>46038</v>
      </c>
      <c r="C23" t="s">
        <v>67</v>
      </c>
      <c r="D23" t="s">
        <v>56</v>
      </c>
      <c r="E23" t="s">
        <v>31</v>
      </c>
      <c r="F23" t="s">
        <v>24</v>
      </c>
      <c r="G23" t="s">
        <v>25</v>
      </c>
      <c r="H23" t="s">
        <v>63</v>
      </c>
      <c r="I23" t="s">
        <v>64</v>
      </c>
      <c r="J23">
        <v>36</v>
      </c>
      <c r="K23">
        <v>95.92</v>
      </c>
      <c r="L23" s="3">
        <v>0.08</v>
      </c>
      <c r="M23">
        <f t="shared" si="0"/>
        <v>3453.12</v>
      </c>
      <c r="N23">
        <f t="shared" si="1"/>
        <v>276.24959999999999</v>
      </c>
      <c r="O23">
        <f t="shared" si="2"/>
        <v>3176.8703999999998</v>
      </c>
      <c r="P23">
        <f>M23*0.48</f>
        <v>1657.4975999999999</v>
      </c>
      <c r="Q23">
        <f t="shared" si="3"/>
        <v>1519.3727999999999</v>
      </c>
      <c r="R23" s="3">
        <f t="shared" si="4"/>
        <v>0.47826086956521741</v>
      </c>
      <c r="S23">
        <v>4</v>
      </c>
      <c r="T23" t="s">
        <v>38</v>
      </c>
    </row>
    <row r="24" spans="1:20" x14ac:dyDescent="0.35">
      <c r="A24" t="s">
        <v>78</v>
      </c>
      <c r="B24" s="2">
        <v>46141</v>
      </c>
      <c r="C24" t="s">
        <v>30</v>
      </c>
      <c r="D24" t="s">
        <v>22</v>
      </c>
      <c r="E24" t="s">
        <v>79</v>
      </c>
      <c r="F24" t="s">
        <v>24</v>
      </c>
      <c r="G24" t="s">
        <v>35</v>
      </c>
      <c r="H24" t="s">
        <v>36</v>
      </c>
      <c r="I24" t="s">
        <v>37</v>
      </c>
      <c r="J24">
        <v>36</v>
      </c>
      <c r="K24">
        <v>456.63</v>
      </c>
      <c r="L24" s="3">
        <v>0</v>
      </c>
      <c r="M24">
        <f t="shared" si="0"/>
        <v>16438.68</v>
      </c>
      <c r="N24">
        <f t="shared" si="1"/>
        <v>0</v>
      </c>
      <c r="O24">
        <f t="shared" si="2"/>
        <v>16438.68</v>
      </c>
      <c r="P24">
        <f>M24*0.55</f>
        <v>9041.2740000000013</v>
      </c>
      <c r="Q24">
        <f t="shared" si="3"/>
        <v>7397.405999999999</v>
      </c>
      <c r="R24" s="3">
        <f t="shared" si="4"/>
        <v>0.44999999999999996</v>
      </c>
      <c r="S24">
        <v>4</v>
      </c>
      <c r="T24" t="s">
        <v>38</v>
      </c>
    </row>
    <row r="25" spans="1:20" x14ac:dyDescent="0.35">
      <c r="A25" t="s">
        <v>80</v>
      </c>
      <c r="B25" s="2">
        <v>46127</v>
      </c>
      <c r="C25" t="s">
        <v>30</v>
      </c>
      <c r="D25" t="s">
        <v>33</v>
      </c>
      <c r="E25" t="s">
        <v>49</v>
      </c>
      <c r="F25" t="s">
        <v>34</v>
      </c>
      <c r="G25" t="s">
        <v>41</v>
      </c>
      <c r="H25" t="s">
        <v>63</v>
      </c>
      <c r="I25" t="s">
        <v>64</v>
      </c>
      <c r="J25">
        <v>12</v>
      </c>
      <c r="K25">
        <v>94.6</v>
      </c>
      <c r="L25" s="3">
        <v>0.08</v>
      </c>
      <c r="M25">
        <f t="shared" si="0"/>
        <v>1135.1999999999998</v>
      </c>
      <c r="N25">
        <f t="shared" si="1"/>
        <v>90.815999999999988</v>
      </c>
      <c r="O25">
        <f t="shared" si="2"/>
        <v>1044.3839999999998</v>
      </c>
      <c r="P25">
        <f>M25*0.48</f>
        <v>544.89599999999984</v>
      </c>
      <c r="Q25">
        <f t="shared" si="3"/>
        <v>499.48799999999994</v>
      </c>
      <c r="R25" s="3">
        <f t="shared" si="4"/>
        <v>0.47826086956521746</v>
      </c>
      <c r="S25">
        <v>4</v>
      </c>
      <c r="T25" t="s">
        <v>44</v>
      </c>
    </row>
    <row r="26" spans="1:20" x14ac:dyDescent="0.35">
      <c r="A26" t="s">
        <v>81</v>
      </c>
      <c r="B26" s="2">
        <v>46096</v>
      </c>
      <c r="C26" t="s">
        <v>59</v>
      </c>
      <c r="D26" t="s">
        <v>62</v>
      </c>
      <c r="E26" t="s">
        <v>79</v>
      </c>
      <c r="F26" t="s">
        <v>24</v>
      </c>
      <c r="G26" t="s">
        <v>25</v>
      </c>
      <c r="H26" t="s">
        <v>63</v>
      </c>
      <c r="I26" t="s">
        <v>64</v>
      </c>
      <c r="J26">
        <v>15</v>
      </c>
      <c r="K26">
        <v>105.81</v>
      </c>
      <c r="L26" s="3">
        <v>0.1</v>
      </c>
      <c r="M26">
        <f t="shared" si="0"/>
        <v>1587.15</v>
      </c>
      <c r="N26">
        <f t="shared" si="1"/>
        <v>158.71500000000003</v>
      </c>
      <c r="O26">
        <f t="shared" si="2"/>
        <v>1428.4349999999999</v>
      </c>
      <c r="P26">
        <f>M26*0.48</f>
        <v>761.83199999999999</v>
      </c>
      <c r="Q26">
        <f t="shared" si="3"/>
        <v>666.60299999999995</v>
      </c>
      <c r="R26" s="3">
        <f t="shared" si="4"/>
        <v>0.46666666666666667</v>
      </c>
      <c r="S26">
        <v>5</v>
      </c>
      <c r="T26" t="s">
        <v>28</v>
      </c>
    </row>
    <row r="27" spans="1:20" x14ac:dyDescent="0.35">
      <c r="A27" t="s">
        <v>82</v>
      </c>
      <c r="B27" s="2">
        <v>46038</v>
      </c>
      <c r="C27" t="s">
        <v>67</v>
      </c>
      <c r="D27" t="s">
        <v>56</v>
      </c>
      <c r="E27" t="s">
        <v>57</v>
      </c>
      <c r="F27" t="s">
        <v>34</v>
      </c>
      <c r="G27" t="s">
        <v>35</v>
      </c>
      <c r="H27" t="s">
        <v>26</v>
      </c>
      <c r="I27" t="s">
        <v>54</v>
      </c>
      <c r="J27">
        <v>34</v>
      </c>
      <c r="K27">
        <v>342.2</v>
      </c>
      <c r="L27" s="3">
        <v>0.1</v>
      </c>
      <c r="M27">
        <f t="shared" si="0"/>
        <v>11634.8</v>
      </c>
      <c r="N27">
        <f t="shared" si="1"/>
        <v>1163.48</v>
      </c>
      <c r="O27">
        <f t="shared" si="2"/>
        <v>10471.32</v>
      </c>
      <c r="P27">
        <f>M27*0.54</f>
        <v>6282.7920000000004</v>
      </c>
      <c r="Q27">
        <f t="shared" si="3"/>
        <v>4188.5279999999993</v>
      </c>
      <c r="R27" s="3">
        <f t="shared" si="4"/>
        <v>0.39999999999999997</v>
      </c>
      <c r="S27">
        <v>4</v>
      </c>
      <c r="T27" t="s">
        <v>38</v>
      </c>
    </row>
    <row r="28" spans="1:20" x14ac:dyDescent="0.35">
      <c r="A28" t="s">
        <v>83</v>
      </c>
      <c r="B28" s="2">
        <v>46153</v>
      </c>
      <c r="C28" t="s">
        <v>46</v>
      </c>
      <c r="D28" t="s">
        <v>51</v>
      </c>
      <c r="E28" t="s">
        <v>31</v>
      </c>
      <c r="F28" t="s">
        <v>34</v>
      </c>
      <c r="G28" t="s">
        <v>35</v>
      </c>
      <c r="H28" t="s">
        <v>26</v>
      </c>
      <c r="I28" t="s">
        <v>27</v>
      </c>
      <c r="J28">
        <v>17</v>
      </c>
      <c r="K28">
        <v>580.44000000000005</v>
      </c>
      <c r="L28" s="3">
        <v>0.1</v>
      </c>
      <c r="M28">
        <f t="shared" si="0"/>
        <v>9867.4800000000014</v>
      </c>
      <c r="N28">
        <f t="shared" si="1"/>
        <v>986.74800000000016</v>
      </c>
      <c r="O28">
        <f t="shared" si="2"/>
        <v>8880.7320000000018</v>
      </c>
      <c r="P28">
        <f>M28*0.58</f>
        <v>5723.1384000000007</v>
      </c>
      <c r="Q28">
        <f t="shared" si="3"/>
        <v>3157.5936000000011</v>
      </c>
      <c r="R28" s="3">
        <f t="shared" si="4"/>
        <v>0.35555555555555562</v>
      </c>
      <c r="S28">
        <v>4</v>
      </c>
      <c r="T28" t="s">
        <v>28</v>
      </c>
    </row>
    <row r="29" spans="1:20" x14ac:dyDescent="0.35">
      <c r="A29" t="s">
        <v>84</v>
      </c>
      <c r="B29" s="2">
        <v>46175</v>
      </c>
      <c r="C29" t="s">
        <v>21</v>
      </c>
      <c r="D29" t="s">
        <v>62</v>
      </c>
      <c r="E29" t="s">
        <v>31</v>
      </c>
      <c r="F29" t="s">
        <v>34</v>
      </c>
      <c r="G29" t="s">
        <v>41</v>
      </c>
      <c r="H29" t="s">
        <v>26</v>
      </c>
      <c r="I29" t="s">
        <v>27</v>
      </c>
      <c r="J29">
        <v>38</v>
      </c>
      <c r="K29">
        <v>594.24</v>
      </c>
      <c r="L29" s="3">
        <v>0.05</v>
      </c>
      <c r="M29">
        <f t="shared" si="0"/>
        <v>22581.119999999999</v>
      </c>
      <c r="N29">
        <f t="shared" si="1"/>
        <v>1129.056</v>
      </c>
      <c r="O29">
        <f t="shared" si="2"/>
        <v>21452.063999999998</v>
      </c>
      <c r="P29">
        <f>M29*0.58</f>
        <v>13097.049599999998</v>
      </c>
      <c r="Q29">
        <f t="shared" si="3"/>
        <v>8355.0144</v>
      </c>
      <c r="R29" s="3">
        <f t="shared" si="4"/>
        <v>0.38947368421052636</v>
      </c>
      <c r="S29">
        <v>4</v>
      </c>
      <c r="T29" t="s">
        <v>38</v>
      </c>
    </row>
    <row r="30" spans="1:20" x14ac:dyDescent="0.35">
      <c r="A30" t="s">
        <v>85</v>
      </c>
      <c r="B30" s="2">
        <v>46084</v>
      </c>
      <c r="C30" t="s">
        <v>59</v>
      </c>
      <c r="D30" t="s">
        <v>33</v>
      </c>
      <c r="E30" t="s">
        <v>86</v>
      </c>
      <c r="F30" t="s">
        <v>34</v>
      </c>
      <c r="G30" t="s">
        <v>47</v>
      </c>
      <c r="H30" t="s">
        <v>42</v>
      </c>
      <c r="I30" t="s">
        <v>43</v>
      </c>
      <c r="J30">
        <v>6</v>
      </c>
      <c r="K30">
        <v>147.5</v>
      </c>
      <c r="L30" s="3">
        <v>0.1</v>
      </c>
      <c r="M30">
        <f t="shared" si="0"/>
        <v>885</v>
      </c>
      <c r="N30">
        <f t="shared" si="1"/>
        <v>88.5</v>
      </c>
      <c r="O30">
        <f t="shared" si="2"/>
        <v>796.5</v>
      </c>
      <c r="P30">
        <f>M30*0.5</f>
        <v>442.5</v>
      </c>
      <c r="Q30">
        <f t="shared" si="3"/>
        <v>354</v>
      </c>
      <c r="R30" s="3">
        <f t="shared" si="4"/>
        <v>0.44444444444444442</v>
      </c>
      <c r="S30">
        <v>5</v>
      </c>
      <c r="T30" t="s">
        <v>38</v>
      </c>
    </row>
    <row r="31" spans="1:20" x14ac:dyDescent="0.35">
      <c r="A31" t="s">
        <v>87</v>
      </c>
      <c r="B31" s="2">
        <v>46041</v>
      </c>
      <c r="C31" t="s">
        <v>67</v>
      </c>
      <c r="D31" t="s">
        <v>51</v>
      </c>
      <c r="E31" t="s">
        <v>23</v>
      </c>
      <c r="F31" t="s">
        <v>34</v>
      </c>
      <c r="G31" t="s">
        <v>25</v>
      </c>
      <c r="H31" t="s">
        <v>36</v>
      </c>
      <c r="I31" t="s">
        <v>70</v>
      </c>
      <c r="J31">
        <v>6</v>
      </c>
      <c r="K31">
        <v>821.89</v>
      </c>
      <c r="L31" s="3">
        <v>0.05</v>
      </c>
      <c r="M31">
        <f t="shared" si="0"/>
        <v>4931.34</v>
      </c>
      <c r="N31">
        <f t="shared" si="1"/>
        <v>246.56700000000001</v>
      </c>
      <c r="O31">
        <f t="shared" si="2"/>
        <v>4684.7730000000001</v>
      </c>
      <c r="P31">
        <f>M31*0.6</f>
        <v>2958.8040000000001</v>
      </c>
      <c r="Q31">
        <f t="shared" si="3"/>
        <v>1725.9690000000001</v>
      </c>
      <c r="R31" s="3">
        <f t="shared" si="4"/>
        <v>0.36842105263157893</v>
      </c>
      <c r="S31">
        <v>4</v>
      </c>
      <c r="T31" t="s">
        <v>38</v>
      </c>
    </row>
    <row r="32" spans="1:20" x14ac:dyDescent="0.35">
      <c r="A32" t="s">
        <v>88</v>
      </c>
      <c r="B32" s="2">
        <v>46135</v>
      </c>
      <c r="C32" t="s">
        <v>30</v>
      </c>
      <c r="D32" t="s">
        <v>56</v>
      </c>
      <c r="E32" t="s">
        <v>57</v>
      </c>
      <c r="F32" t="s">
        <v>34</v>
      </c>
      <c r="G32" t="s">
        <v>47</v>
      </c>
      <c r="H32" t="s">
        <v>36</v>
      </c>
      <c r="I32" t="s">
        <v>70</v>
      </c>
      <c r="J32">
        <v>8</v>
      </c>
      <c r="K32">
        <v>830.84</v>
      </c>
      <c r="L32" s="3">
        <v>0.03</v>
      </c>
      <c r="M32">
        <f t="shared" si="0"/>
        <v>6646.72</v>
      </c>
      <c r="N32">
        <f t="shared" si="1"/>
        <v>199.4016</v>
      </c>
      <c r="O32">
        <f t="shared" si="2"/>
        <v>6447.3184000000001</v>
      </c>
      <c r="P32">
        <f>M32*0.6</f>
        <v>3988.0320000000002</v>
      </c>
      <c r="Q32">
        <f t="shared" si="3"/>
        <v>2459.2864</v>
      </c>
      <c r="R32" s="3">
        <f t="shared" si="4"/>
        <v>0.38144329896907214</v>
      </c>
      <c r="S32">
        <v>4</v>
      </c>
      <c r="T32" t="s">
        <v>38</v>
      </c>
    </row>
    <row r="33" spans="1:20" x14ac:dyDescent="0.35">
      <c r="A33" t="s">
        <v>89</v>
      </c>
      <c r="B33" s="2">
        <v>46050</v>
      </c>
      <c r="C33" t="s">
        <v>67</v>
      </c>
      <c r="D33" t="s">
        <v>62</v>
      </c>
      <c r="E33" t="s">
        <v>86</v>
      </c>
      <c r="F33" t="s">
        <v>24</v>
      </c>
      <c r="G33" t="s">
        <v>47</v>
      </c>
      <c r="H33" t="s">
        <v>26</v>
      </c>
      <c r="I33" t="s">
        <v>54</v>
      </c>
      <c r="J33">
        <v>15</v>
      </c>
      <c r="K33">
        <v>329.69</v>
      </c>
      <c r="L33" s="3">
        <v>0.03</v>
      </c>
      <c r="M33">
        <f t="shared" si="0"/>
        <v>4945.3500000000004</v>
      </c>
      <c r="N33">
        <f t="shared" si="1"/>
        <v>148.3605</v>
      </c>
      <c r="O33">
        <f t="shared" si="2"/>
        <v>4796.9895000000006</v>
      </c>
      <c r="P33">
        <f>M33*0.54</f>
        <v>2670.4890000000005</v>
      </c>
      <c r="Q33">
        <f t="shared" si="3"/>
        <v>2126.5005000000001</v>
      </c>
      <c r="R33" s="3">
        <f t="shared" si="4"/>
        <v>0.44329896907216493</v>
      </c>
      <c r="S33">
        <v>5</v>
      </c>
      <c r="T33" t="s">
        <v>38</v>
      </c>
    </row>
    <row r="34" spans="1:20" x14ac:dyDescent="0.35">
      <c r="A34" t="s">
        <v>90</v>
      </c>
      <c r="B34" s="2">
        <v>46152</v>
      </c>
      <c r="C34" t="s">
        <v>46</v>
      </c>
      <c r="D34" t="s">
        <v>56</v>
      </c>
      <c r="E34" t="s">
        <v>57</v>
      </c>
      <c r="F34" t="s">
        <v>34</v>
      </c>
      <c r="G34" t="s">
        <v>35</v>
      </c>
      <c r="H34" t="s">
        <v>63</v>
      </c>
      <c r="I34" t="s">
        <v>64</v>
      </c>
      <c r="J34">
        <v>19</v>
      </c>
      <c r="K34">
        <v>88.24</v>
      </c>
      <c r="L34" s="3">
        <v>0.05</v>
      </c>
      <c r="M34">
        <f t="shared" ref="M34:M65" si="5">J34*K34</f>
        <v>1676.56</v>
      </c>
      <c r="N34">
        <f t="shared" ref="N34:N65" si="6">M34*L34</f>
        <v>83.828000000000003</v>
      </c>
      <c r="O34">
        <f t="shared" ref="O34:O65" si="7">M34-N34</f>
        <v>1592.732</v>
      </c>
      <c r="P34">
        <f>M34*0.48</f>
        <v>804.74879999999996</v>
      </c>
      <c r="Q34">
        <f t="shared" ref="Q34:Q65" si="8">O34-P34</f>
        <v>787.98320000000001</v>
      </c>
      <c r="R34" s="3">
        <f t="shared" ref="R34:R65" si="9">Q34/O34</f>
        <v>0.4947368421052632</v>
      </c>
      <c r="S34">
        <v>4</v>
      </c>
      <c r="T34" t="s">
        <v>38</v>
      </c>
    </row>
    <row r="35" spans="1:20" x14ac:dyDescent="0.35">
      <c r="A35" t="s">
        <v>91</v>
      </c>
      <c r="B35" s="2">
        <v>46064</v>
      </c>
      <c r="C35" t="s">
        <v>40</v>
      </c>
      <c r="D35" t="s">
        <v>33</v>
      </c>
      <c r="E35" t="s">
        <v>60</v>
      </c>
      <c r="F35" t="s">
        <v>24</v>
      </c>
      <c r="G35" t="s">
        <v>35</v>
      </c>
      <c r="H35" t="s">
        <v>26</v>
      </c>
      <c r="I35" t="s">
        <v>54</v>
      </c>
      <c r="J35">
        <v>11</v>
      </c>
      <c r="K35">
        <v>319.02999999999997</v>
      </c>
      <c r="L35" s="3">
        <v>0.05</v>
      </c>
      <c r="M35">
        <f t="shared" si="5"/>
        <v>3509.33</v>
      </c>
      <c r="N35">
        <f t="shared" si="6"/>
        <v>175.4665</v>
      </c>
      <c r="O35">
        <f t="shared" si="7"/>
        <v>3333.8634999999999</v>
      </c>
      <c r="P35">
        <f>M35*0.54</f>
        <v>1895.0382000000002</v>
      </c>
      <c r="Q35">
        <f t="shared" si="8"/>
        <v>1438.8252999999997</v>
      </c>
      <c r="R35" s="3">
        <f t="shared" si="9"/>
        <v>0.43157894736842101</v>
      </c>
      <c r="S35">
        <v>5</v>
      </c>
      <c r="T35" t="s">
        <v>28</v>
      </c>
    </row>
    <row r="36" spans="1:20" x14ac:dyDescent="0.35">
      <c r="A36" t="s">
        <v>92</v>
      </c>
      <c r="B36" s="2">
        <v>46060</v>
      </c>
      <c r="C36" t="s">
        <v>40</v>
      </c>
      <c r="D36" t="s">
        <v>51</v>
      </c>
      <c r="E36" t="s">
        <v>57</v>
      </c>
      <c r="F36" t="s">
        <v>34</v>
      </c>
      <c r="G36" t="s">
        <v>47</v>
      </c>
      <c r="H36" t="s">
        <v>63</v>
      </c>
      <c r="I36" t="s">
        <v>64</v>
      </c>
      <c r="J36">
        <v>4</v>
      </c>
      <c r="K36">
        <v>104.48</v>
      </c>
      <c r="L36" s="3">
        <v>0.03</v>
      </c>
      <c r="M36">
        <f t="shared" si="5"/>
        <v>417.92</v>
      </c>
      <c r="N36">
        <f t="shared" si="6"/>
        <v>12.537599999999999</v>
      </c>
      <c r="O36">
        <f t="shared" si="7"/>
        <v>405.38240000000002</v>
      </c>
      <c r="P36">
        <f>M36*0.48</f>
        <v>200.60159999999999</v>
      </c>
      <c r="Q36">
        <f t="shared" si="8"/>
        <v>204.78080000000003</v>
      </c>
      <c r="R36" s="3">
        <f t="shared" si="9"/>
        <v>0.50515463917525782</v>
      </c>
      <c r="S36">
        <v>5</v>
      </c>
      <c r="T36" t="s">
        <v>38</v>
      </c>
    </row>
    <row r="37" spans="1:20" x14ac:dyDescent="0.35">
      <c r="A37" t="s">
        <v>93</v>
      </c>
      <c r="B37" s="2">
        <v>46193</v>
      </c>
      <c r="C37" t="s">
        <v>21</v>
      </c>
      <c r="D37" t="s">
        <v>56</v>
      </c>
      <c r="E37" t="s">
        <v>60</v>
      </c>
      <c r="F37" t="s">
        <v>34</v>
      </c>
      <c r="G37" t="s">
        <v>25</v>
      </c>
      <c r="H37" t="s">
        <v>26</v>
      </c>
      <c r="I37" t="s">
        <v>27</v>
      </c>
      <c r="J37">
        <v>17</v>
      </c>
      <c r="K37">
        <v>633.89</v>
      </c>
      <c r="L37" s="3">
        <v>0.03</v>
      </c>
      <c r="M37">
        <f t="shared" si="5"/>
        <v>10776.13</v>
      </c>
      <c r="N37">
        <f t="shared" si="6"/>
        <v>323.28389999999996</v>
      </c>
      <c r="O37">
        <f t="shared" si="7"/>
        <v>10452.846099999999</v>
      </c>
      <c r="P37">
        <f>M37*0.58</f>
        <v>6250.1553999999987</v>
      </c>
      <c r="Q37">
        <f t="shared" si="8"/>
        <v>4202.6907000000001</v>
      </c>
      <c r="R37" s="3">
        <f t="shared" si="9"/>
        <v>0.40206185567010316</v>
      </c>
      <c r="S37">
        <v>4</v>
      </c>
      <c r="T37" t="s">
        <v>38</v>
      </c>
    </row>
    <row r="38" spans="1:20" x14ac:dyDescent="0.35">
      <c r="A38" t="s">
        <v>94</v>
      </c>
      <c r="B38" s="2">
        <v>46068</v>
      </c>
      <c r="C38" t="s">
        <v>40</v>
      </c>
      <c r="D38" t="s">
        <v>56</v>
      </c>
      <c r="E38" t="s">
        <v>60</v>
      </c>
      <c r="F38" t="s">
        <v>24</v>
      </c>
      <c r="G38" t="s">
        <v>25</v>
      </c>
      <c r="H38" t="s">
        <v>26</v>
      </c>
      <c r="I38" t="s">
        <v>54</v>
      </c>
      <c r="J38">
        <v>8</v>
      </c>
      <c r="K38">
        <v>308.92</v>
      </c>
      <c r="L38" s="3">
        <v>0</v>
      </c>
      <c r="M38">
        <f t="shared" si="5"/>
        <v>2471.36</v>
      </c>
      <c r="N38">
        <f t="shared" si="6"/>
        <v>0</v>
      </c>
      <c r="O38">
        <f t="shared" si="7"/>
        <v>2471.36</v>
      </c>
      <c r="P38">
        <f>M38*0.54</f>
        <v>1334.5344000000002</v>
      </c>
      <c r="Q38">
        <f t="shared" si="8"/>
        <v>1136.8255999999999</v>
      </c>
      <c r="R38" s="3">
        <f t="shared" si="9"/>
        <v>0.45999999999999991</v>
      </c>
      <c r="S38">
        <v>4</v>
      </c>
      <c r="T38" t="s">
        <v>38</v>
      </c>
    </row>
    <row r="39" spans="1:20" x14ac:dyDescent="0.35">
      <c r="A39" t="s">
        <v>95</v>
      </c>
      <c r="B39" s="2">
        <v>46074</v>
      </c>
      <c r="C39" t="s">
        <v>40</v>
      </c>
      <c r="D39" t="s">
        <v>56</v>
      </c>
      <c r="E39" t="s">
        <v>23</v>
      </c>
      <c r="F39" t="s">
        <v>24</v>
      </c>
      <c r="G39" t="s">
        <v>25</v>
      </c>
      <c r="H39" t="s">
        <v>63</v>
      </c>
      <c r="I39" t="s">
        <v>64</v>
      </c>
      <c r="J39">
        <v>44</v>
      </c>
      <c r="K39">
        <v>91.07</v>
      </c>
      <c r="L39" s="3">
        <v>0.05</v>
      </c>
      <c r="M39">
        <f t="shared" si="5"/>
        <v>4007.08</v>
      </c>
      <c r="N39">
        <f t="shared" si="6"/>
        <v>200.35400000000001</v>
      </c>
      <c r="O39">
        <f t="shared" si="7"/>
        <v>3806.7260000000001</v>
      </c>
      <c r="P39">
        <f>M39*0.48</f>
        <v>1923.3983999999998</v>
      </c>
      <c r="Q39">
        <f t="shared" si="8"/>
        <v>1883.3276000000003</v>
      </c>
      <c r="R39" s="3">
        <f t="shared" si="9"/>
        <v>0.4947368421052632</v>
      </c>
      <c r="S39">
        <v>4</v>
      </c>
      <c r="T39" t="s">
        <v>38</v>
      </c>
    </row>
    <row r="40" spans="1:20" x14ac:dyDescent="0.35">
      <c r="A40" t="s">
        <v>96</v>
      </c>
      <c r="B40" s="2">
        <v>46094</v>
      </c>
      <c r="C40" t="s">
        <v>59</v>
      </c>
      <c r="D40" t="s">
        <v>62</v>
      </c>
      <c r="E40" t="s">
        <v>60</v>
      </c>
      <c r="F40" t="s">
        <v>34</v>
      </c>
      <c r="G40" t="s">
        <v>47</v>
      </c>
      <c r="H40" t="s">
        <v>42</v>
      </c>
      <c r="I40" t="s">
        <v>43</v>
      </c>
      <c r="J40">
        <v>9</v>
      </c>
      <c r="K40">
        <v>175.27</v>
      </c>
      <c r="L40" s="3">
        <v>0.05</v>
      </c>
      <c r="M40">
        <f t="shared" si="5"/>
        <v>1577.43</v>
      </c>
      <c r="N40">
        <f t="shared" si="6"/>
        <v>78.871500000000012</v>
      </c>
      <c r="O40">
        <f t="shared" si="7"/>
        <v>1498.5585000000001</v>
      </c>
      <c r="P40">
        <f>M40*0.5</f>
        <v>788.71500000000003</v>
      </c>
      <c r="Q40">
        <f t="shared" si="8"/>
        <v>709.84350000000006</v>
      </c>
      <c r="R40" s="3">
        <f t="shared" si="9"/>
        <v>0.47368421052631582</v>
      </c>
      <c r="S40">
        <v>4</v>
      </c>
      <c r="T40" t="s">
        <v>28</v>
      </c>
    </row>
    <row r="41" spans="1:20" x14ac:dyDescent="0.35">
      <c r="A41" t="s">
        <v>97</v>
      </c>
      <c r="B41" s="2">
        <v>46090</v>
      </c>
      <c r="C41" t="s">
        <v>59</v>
      </c>
      <c r="D41" t="s">
        <v>22</v>
      </c>
      <c r="E41" t="s">
        <v>60</v>
      </c>
      <c r="F41" t="s">
        <v>34</v>
      </c>
      <c r="G41" t="s">
        <v>47</v>
      </c>
      <c r="H41" t="s">
        <v>26</v>
      </c>
      <c r="I41" t="s">
        <v>27</v>
      </c>
      <c r="J41">
        <v>22</v>
      </c>
      <c r="K41">
        <v>584.22</v>
      </c>
      <c r="L41" s="3">
        <v>0.1</v>
      </c>
      <c r="M41">
        <f t="shared" si="5"/>
        <v>12852.84</v>
      </c>
      <c r="N41">
        <f t="shared" si="6"/>
        <v>1285.2840000000001</v>
      </c>
      <c r="O41">
        <f t="shared" si="7"/>
        <v>11567.556</v>
      </c>
      <c r="P41">
        <f>M41*0.58</f>
        <v>7454.6471999999994</v>
      </c>
      <c r="Q41">
        <f t="shared" si="8"/>
        <v>4112.9088000000011</v>
      </c>
      <c r="R41" s="3">
        <f t="shared" si="9"/>
        <v>0.35555555555555562</v>
      </c>
      <c r="S41">
        <v>3</v>
      </c>
      <c r="T41" t="s">
        <v>44</v>
      </c>
    </row>
    <row r="42" spans="1:20" x14ac:dyDescent="0.35">
      <c r="A42" t="s">
        <v>98</v>
      </c>
      <c r="B42" s="2">
        <v>46170</v>
      </c>
      <c r="C42" t="s">
        <v>46</v>
      </c>
      <c r="D42" t="s">
        <v>56</v>
      </c>
      <c r="E42" t="s">
        <v>57</v>
      </c>
      <c r="F42" t="s">
        <v>24</v>
      </c>
      <c r="G42" t="s">
        <v>41</v>
      </c>
      <c r="H42" t="s">
        <v>36</v>
      </c>
      <c r="I42" t="s">
        <v>37</v>
      </c>
      <c r="J42">
        <v>36</v>
      </c>
      <c r="K42">
        <v>444.1</v>
      </c>
      <c r="L42" s="3">
        <v>0.12</v>
      </c>
      <c r="M42">
        <f t="shared" si="5"/>
        <v>15987.6</v>
      </c>
      <c r="N42">
        <f t="shared" si="6"/>
        <v>1918.5119999999999</v>
      </c>
      <c r="O42">
        <f t="shared" si="7"/>
        <v>14069.088</v>
      </c>
      <c r="P42">
        <f>M42*0.55</f>
        <v>8793.18</v>
      </c>
      <c r="Q42">
        <f t="shared" si="8"/>
        <v>5275.9079999999994</v>
      </c>
      <c r="R42" s="3">
        <f t="shared" si="9"/>
        <v>0.37499999999999994</v>
      </c>
      <c r="S42">
        <v>5</v>
      </c>
      <c r="T42" t="s">
        <v>38</v>
      </c>
    </row>
    <row r="43" spans="1:20" x14ac:dyDescent="0.35">
      <c r="A43" t="s">
        <v>99</v>
      </c>
      <c r="B43" s="2">
        <v>46116</v>
      </c>
      <c r="C43" t="s">
        <v>30</v>
      </c>
      <c r="D43" t="s">
        <v>22</v>
      </c>
      <c r="E43" t="s">
        <v>52</v>
      </c>
      <c r="F43" t="s">
        <v>34</v>
      </c>
      <c r="G43" t="s">
        <v>47</v>
      </c>
      <c r="H43" t="s">
        <v>63</v>
      </c>
      <c r="I43" t="s">
        <v>64</v>
      </c>
      <c r="J43">
        <v>9</v>
      </c>
      <c r="K43">
        <v>101.08</v>
      </c>
      <c r="L43" s="3">
        <v>0.05</v>
      </c>
      <c r="M43">
        <f t="shared" si="5"/>
        <v>909.72</v>
      </c>
      <c r="N43">
        <f t="shared" si="6"/>
        <v>45.486000000000004</v>
      </c>
      <c r="O43">
        <f t="shared" si="7"/>
        <v>864.23400000000004</v>
      </c>
      <c r="P43">
        <f>M43*0.48</f>
        <v>436.66559999999998</v>
      </c>
      <c r="Q43">
        <f t="shared" si="8"/>
        <v>427.56840000000005</v>
      </c>
      <c r="R43" s="3">
        <f t="shared" si="9"/>
        <v>0.4947368421052632</v>
      </c>
      <c r="S43">
        <v>5</v>
      </c>
      <c r="T43" t="s">
        <v>38</v>
      </c>
    </row>
    <row r="44" spans="1:20" x14ac:dyDescent="0.35">
      <c r="A44" t="s">
        <v>100</v>
      </c>
      <c r="B44" s="2">
        <v>46193</v>
      </c>
      <c r="C44" t="s">
        <v>21</v>
      </c>
      <c r="D44" t="s">
        <v>56</v>
      </c>
      <c r="E44" t="s">
        <v>60</v>
      </c>
      <c r="F44" t="s">
        <v>34</v>
      </c>
      <c r="G44" t="s">
        <v>47</v>
      </c>
      <c r="H44" t="s">
        <v>63</v>
      </c>
      <c r="I44" t="s">
        <v>64</v>
      </c>
      <c r="J44">
        <v>14</v>
      </c>
      <c r="K44">
        <v>95.39</v>
      </c>
      <c r="L44" s="3">
        <v>0.08</v>
      </c>
      <c r="M44">
        <f t="shared" si="5"/>
        <v>1335.46</v>
      </c>
      <c r="N44">
        <f t="shared" si="6"/>
        <v>106.83680000000001</v>
      </c>
      <c r="O44">
        <f t="shared" si="7"/>
        <v>1228.6232</v>
      </c>
      <c r="P44">
        <f>M44*0.48</f>
        <v>641.02080000000001</v>
      </c>
      <c r="Q44">
        <f t="shared" si="8"/>
        <v>587.60239999999999</v>
      </c>
      <c r="R44" s="3">
        <f t="shared" si="9"/>
        <v>0.47826086956521741</v>
      </c>
      <c r="S44">
        <v>5</v>
      </c>
      <c r="T44" t="s">
        <v>38</v>
      </c>
    </row>
    <row r="45" spans="1:20" x14ac:dyDescent="0.35">
      <c r="A45" t="s">
        <v>101</v>
      </c>
      <c r="B45" s="2">
        <v>46180</v>
      </c>
      <c r="C45" t="s">
        <v>21</v>
      </c>
      <c r="D45" t="s">
        <v>56</v>
      </c>
      <c r="E45" t="s">
        <v>60</v>
      </c>
      <c r="F45" t="s">
        <v>24</v>
      </c>
      <c r="G45" t="s">
        <v>35</v>
      </c>
      <c r="H45" t="s">
        <v>36</v>
      </c>
      <c r="I45" t="s">
        <v>70</v>
      </c>
      <c r="J45">
        <v>15</v>
      </c>
      <c r="K45">
        <v>754.48</v>
      </c>
      <c r="L45" s="3">
        <v>0.1</v>
      </c>
      <c r="M45">
        <f t="shared" si="5"/>
        <v>11317.2</v>
      </c>
      <c r="N45">
        <f t="shared" si="6"/>
        <v>1131.72</v>
      </c>
      <c r="O45">
        <f t="shared" si="7"/>
        <v>10185.480000000001</v>
      </c>
      <c r="P45">
        <f>M45*0.6</f>
        <v>6790.3200000000006</v>
      </c>
      <c r="Q45">
        <f t="shared" si="8"/>
        <v>3395.1600000000008</v>
      </c>
      <c r="R45" s="3">
        <f t="shared" si="9"/>
        <v>0.33333333333333337</v>
      </c>
      <c r="S45">
        <v>5</v>
      </c>
      <c r="T45" t="s">
        <v>38</v>
      </c>
    </row>
    <row r="46" spans="1:20" x14ac:dyDescent="0.35">
      <c r="A46" t="s">
        <v>102</v>
      </c>
      <c r="B46" s="2">
        <v>46142</v>
      </c>
      <c r="C46" t="s">
        <v>30</v>
      </c>
      <c r="D46" t="s">
        <v>33</v>
      </c>
      <c r="E46" t="s">
        <v>49</v>
      </c>
      <c r="F46" t="s">
        <v>34</v>
      </c>
      <c r="G46" t="s">
        <v>41</v>
      </c>
      <c r="H46" t="s">
        <v>63</v>
      </c>
      <c r="I46" t="s">
        <v>64</v>
      </c>
      <c r="J46">
        <v>12</v>
      </c>
      <c r="K46">
        <v>99.92</v>
      </c>
      <c r="L46" s="3">
        <v>0.05</v>
      </c>
      <c r="M46">
        <f t="shared" si="5"/>
        <v>1199.04</v>
      </c>
      <c r="N46">
        <f t="shared" si="6"/>
        <v>59.951999999999998</v>
      </c>
      <c r="O46">
        <f t="shared" si="7"/>
        <v>1139.088</v>
      </c>
      <c r="P46">
        <f>M46*0.48</f>
        <v>575.53919999999994</v>
      </c>
      <c r="Q46">
        <f t="shared" si="8"/>
        <v>563.54880000000003</v>
      </c>
      <c r="R46" s="3">
        <f t="shared" si="9"/>
        <v>0.4947368421052632</v>
      </c>
      <c r="S46">
        <v>5</v>
      </c>
      <c r="T46" t="s">
        <v>28</v>
      </c>
    </row>
    <row r="47" spans="1:20" x14ac:dyDescent="0.35">
      <c r="A47" t="s">
        <v>103</v>
      </c>
      <c r="B47" s="2">
        <v>46108</v>
      </c>
      <c r="C47" t="s">
        <v>59</v>
      </c>
      <c r="D47" t="s">
        <v>51</v>
      </c>
      <c r="E47" t="s">
        <v>23</v>
      </c>
      <c r="F47" t="s">
        <v>34</v>
      </c>
      <c r="G47" t="s">
        <v>25</v>
      </c>
      <c r="H47" t="s">
        <v>26</v>
      </c>
      <c r="I47" t="s">
        <v>27</v>
      </c>
      <c r="J47">
        <v>11</v>
      </c>
      <c r="K47">
        <v>536.42999999999995</v>
      </c>
      <c r="L47" s="3">
        <v>0.03</v>
      </c>
      <c r="M47">
        <f t="shared" si="5"/>
        <v>5900.73</v>
      </c>
      <c r="N47">
        <f t="shared" si="6"/>
        <v>177.02189999999999</v>
      </c>
      <c r="O47">
        <f t="shared" si="7"/>
        <v>5723.7080999999998</v>
      </c>
      <c r="P47">
        <f>M47*0.58</f>
        <v>3422.4233999999997</v>
      </c>
      <c r="Q47">
        <f t="shared" si="8"/>
        <v>2301.2847000000002</v>
      </c>
      <c r="R47" s="3">
        <f t="shared" si="9"/>
        <v>0.40206185567010311</v>
      </c>
      <c r="S47">
        <v>4</v>
      </c>
      <c r="T47" t="s">
        <v>28</v>
      </c>
    </row>
    <row r="48" spans="1:20" x14ac:dyDescent="0.35">
      <c r="A48" t="s">
        <v>104</v>
      </c>
      <c r="B48" s="2">
        <v>46041</v>
      </c>
      <c r="C48" t="s">
        <v>67</v>
      </c>
      <c r="D48" t="s">
        <v>33</v>
      </c>
      <c r="E48" t="s">
        <v>49</v>
      </c>
      <c r="F48" t="s">
        <v>34</v>
      </c>
      <c r="G48" t="s">
        <v>41</v>
      </c>
      <c r="H48" t="s">
        <v>63</v>
      </c>
      <c r="I48" t="s">
        <v>64</v>
      </c>
      <c r="J48">
        <v>17</v>
      </c>
      <c r="K48">
        <v>90.2</v>
      </c>
      <c r="L48" s="3">
        <v>0.12</v>
      </c>
      <c r="M48">
        <f t="shared" si="5"/>
        <v>1533.4</v>
      </c>
      <c r="N48">
        <f t="shared" si="6"/>
        <v>184.00800000000001</v>
      </c>
      <c r="O48">
        <f t="shared" si="7"/>
        <v>1349.3920000000001</v>
      </c>
      <c r="P48">
        <f>M48*0.48</f>
        <v>736.03200000000004</v>
      </c>
      <c r="Q48">
        <f t="shared" si="8"/>
        <v>613.36</v>
      </c>
      <c r="R48" s="3">
        <f t="shared" si="9"/>
        <v>0.45454545454545453</v>
      </c>
      <c r="S48">
        <v>3</v>
      </c>
      <c r="T48" t="s">
        <v>38</v>
      </c>
    </row>
    <row r="49" spans="1:20" x14ac:dyDescent="0.35">
      <c r="A49" t="s">
        <v>105</v>
      </c>
      <c r="B49" s="2">
        <v>46131</v>
      </c>
      <c r="C49" t="s">
        <v>30</v>
      </c>
      <c r="D49" t="s">
        <v>51</v>
      </c>
      <c r="E49" t="s">
        <v>79</v>
      </c>
      <c r="F49" t="s">
        <v>34</v>
      </c>
      <c r="G49" t="s">
        <v>35</v>
      </c>
      <c r="H49" t="s">
        <v>36</v>
      </c>
      <c r="I49" t="s">
        <v>37</v>
      </c>
      <c r="J49">
        <v>9</v>
      </c>
      <c r="K49">
        <v>424.74</v>
      </c>
      <c r="L49" s="3">
        <v>0.08</v>
      </c>
      <c r="M49">
        <f t="shared" si="5"/>
        <v>3822.66</v>
      </c>
      <c r="N49">
        <f t="shared" si="6"/>
        <v>305.81279999999998</v>
      </c>
      <c r="O49">
        <f t="shared" si="7"/>
        <v>3516.8471999999997</v>
      </c>
      <c r="P49">
        <f>M49*0.55</f>
        <v>2102.4630000000002</v>
      </c>
      <c r="Q49">
        <f t="shared" si="8"/>
        <v>1414.3841999999995</v>
      </c>
      <c r="R49" s="3">
        <f t="shared" si="9"/>
        <v>0.40217391304347816</v>
      </c>
      <c r="S49">
        <v>5</v>
      </c>
      <c r="T49" t="s">
        <v>28</v>
      </c>
    </row>
    <row r="50" spans="1:20" x14ac:dyDescent="0.35">
      <c r="A50" t="s">
        <v>106</v>
      </c>
      <c r="B50" s="2">
        <v>46166</v>
      </c>
      <c r="C50" t="s">
        <v>46</v>
      </c>
      <c r="D50" t="s">
        <v>56</v>
      </c>
      <c r="E50" t="s">
        <v>79</v>
      </c>
      <c r="F50" t="s">
        <v>34</v>
      </c>
      <c r="G50" t="s">
        <v>41</v>
      </c>
      <c r="H50" t="s">
        <v>36</v>
      </c>
      <c r="I50" t="s">
        <v>70</v>
      </c>
      <c r="J50">
        <v>37</v>
      </c>
      <c r="K50">
        <v>756.89</v>
      </c>
      <c r="L50" s="3">
        <v>0.03</v>
      </c>
      <c r="M50">
        <f t="shared" si="5"/>
        <v>28004.93</v>
      </c>
      <c r="N50">
        <f t="shared" si="6"/>
        <v>840.14789999999994</v>
      </c>
      <c r="O50">
        <f t="shared" si="7"/>
        <v>27164.7821</v>
      </c>
      <c r="P50">
        <f>M50*0.6</f>
        <v>16802.957999999999</v>
      </c>
      <c r="Q50">
        <f t="shared" si="8"/>
        <v>10361.824100000002</v>
      </c>
      <c r="R50" s="3">
        <f t="shared" si="9"/>
        <v>0.3814432989690722</v>
      </c>
      <c r="S50">
        <v>5</v>
      </c>
      <c r="T50" t="s">
        <v>44</v>
      </c>
    </row>
    <row r="51" spans="1:20" x14ac:dyDescent="0.35">
      <c r="A51" t="s">
        <v>107</v>
      </c>
      <c r="B51" s="2">
        <v>46138</v>
      </c>
      <c r="C51" t="s">
        <v>30</v>
      </c>
      <c r="D51" t="s">
        <v>51</v>
      </c>
      <c r="E51" t="s">
        <v>23</v>
      </c>
      <c r="F51" t="s">
        <v>34</v>
      </c>
      <c r="G51" t="s">
        <v>41</v>
      </c>
      <c r="H51" t="s">
        <v>42</v>
      </c>
      <c r="I51" t="s">
        <v>43</v>
      </c>
      <c r="J51">
        <v>19</v>
      </c>
      <c r="K51">
        <v>161.28</v>
      </c>
      <c r="L51" s="3">
        <v>0.12</v>
      </c>
      <c r="M51">
        <f t="shared" si="5"/>
        <v>3064.32</v>
      </c>
      <c r="N51">
        <f t="shared" si="6"/>
        <v>367.71840000000003</v>
      </c>
      <c r="O51">
        <f t="shared" si="7"/>
        <v>2696.6016</v>
      </c>
      <c r="P51">
        <f>M51*0.5</f>
        <v>1532.16</v>
      </c>
      <c r="Q51">
        <f t="shared" si="8"/>
        <v>1164.4415999999999</v>
      </c>
      <c r="R51" s="3">
        <f t="shared" si="9"/>
        <v>0.43181818181818177</v>
      </c>
      <c r="S51">
        <v>4</v>
      </c>
      <c r="T51" t="s">
        <v>38</v>
      </c>
    </row>
    <row r="52" spans="1:20" x14ac:dyDescent="0.35">
      <c r="A52" t="s">
        <v>108</v>
      </c>
      <c r="B52" s="2">
        <v>46092</v>
      </c>
      <c r="C52" t="s">
        <v>59</v>
      </c>
      <c r="D52" t="s">
        <v>56</v>
      </c>
      <c r="E52" t="s">
        <v>31</v>
      </c>
      <c r="F52" t="s">
        <v>24</v>
      </c>
      <c r="G52" t="s">
        <v>25</v>
      </c>
      <c r="H52" t="s">
        <v>42</v>
      </c>
      <c r="I52" t="s">
        <v>43</v>
      </c>
      <c r="J52">
        <v>26</v>
      </c>
      <c r="K52">
        <v>169.41</v>
      </c>
      <c r="L52" s="3">
        <v>0.12</v>
      </c>
      <c r="M52">
        <f t="shared" si="5"/>
        <v>4404.66</v>
      </c>
      <c r="N52">
        <f t="shared" si="6"/>
        <v>528.55919999999992</v>
      </c>
      <c r="O52">
        <f t="shared" si="7"/>
        <v>3876.1008000000002</v>
      </c>
      <c r="P52">
        <f>M52*0.5</f>
        <v>2202.33</v>
      </c>
      <c r="Q52">
        <f t="shared" si="8"/>
        <v>1673.7708000000002</v>
      </c>
      <c r="R52" s="3">
        <f t="shared" si="9"/>
        <v>0.43181818181818188</v>
      </c>
      <c r="S52">
        <v>4</v>
      </c>
      <c r="T52" t="s">
        <v>38</v>
      </c>
    </row>
    <row r="53" spans="1:20" x14ac:dyDescent="0.35">
      <c r="A53" t="s">
        <v>109</v>
      </c>
      <c r="B53" s="2">
        <v>46129</v>
      </c>
      <c r="C53" t="s">
        <v>30</v>
      </c>
      <c r="D53" t="s">
        <v>56</v>
      </c>
      <c r="E53" t="s">
        <v>79</v>
      </c>
      <c r="F53" t="s">
        <v>24</v>
      </c>
      <c r="G53" t="s">
        <v>41</v>
      </c>
      <c r="H53" t="s">
        <v>63</v>
      </c>
      <c r="I53" t="s">
        <v>64</v>
      </c>
      <c r="J53">
        <v>28</v>
      </c>
      <c r="K53">
        <v>94.8</v>
      </c>
      <c r="L53" s="3">
        <v>0.1</v>
      </c>
      <c r="M53">
        <f t="shared" si="5"/>
        <v>2654.4</v>
      </c>
      <c r="N53">
        <f t="shared" si="6"/>
        <v>265.44</v>
      </c>
      <c r="O53">
        <f t="shared" si="7"/>
        <v>2388.96</v>
      </c>
      <c r="P53">
        <f>M53*0.48</f>
        <v>1274.1120000000001</v>
      </c>
      <c r="Q53">
        <f t="shared" si="8"/>
        <v>1114.848</v>
      </c>
      <c r="R53" s="3">
        <f t="shared" si="9"/>
        <v>0.46666666666666662</v>
      </c>
      <c r="S53">
        <v>5</v>
      </c>
      <c r="T53" t="s">
        <v>38</v>
      </c>
    </row>
    <row r="54" spans="1:20" x14ac:dyDescent="0.35">
      <c r="A54" t="s">
        <v>110</v>
      </c>
      <c r="B54" s="2">
        <v>46170</v>
      </c>
      <c r="C54" t="s">
        <v>46</v>
      </c>
      <c r="D54" t="s">
        <v>33</v>
      </c>
      <c r="E54" t="s">
        <v>57</v>
      </c>
      <c r="F54" t="s">
        <v>24</v>
      </c>
      <c r="G54" t="s">
        <v>47</v>
      </c>
      <c r="H54" t="s">
        <v>63</v>
      </c>
      <c r="I54" t="s">
        <v>64</v>
      </c>
      <c r="J54">
        <v>26</v>
      </c>
      <c r="K54">
        <v>103.62</v>
      </c>
      <c r="L54" s="3">
        <v>0.08</v>
      </c>
      <c r="M54">
        <f t="shared" si="5"/>
        <v>2694.12</v>
      </c>
      <c r="N54">
        <f t="shared" si="6"/>
        <v>215.52959999999999</v>
      </c>
      <c r="O54">
        <f t="shared" si="7"/>
        <v>2478.5904</v>
      </c>
      <c r="P54">
        <f>M54*0.48</f>
        <v>1293.1776</v>
      </c>
      <c r="Q54">
        <f t="shared" si="8"/>
        <v>1185.4128000000001</v>
      </c>
      <c r="R54" s="3">
        <f t="shared" si="9"/>
        <v>0.47826086956521741</v>
      </c>
      <c r="S54">
        <v>5</v>
      </c>
      <c r="T54" t="s">
        <v>28</v>
      </c>
    </row>
    <row r="55" spans="1:20" x14ac:dyDescent="0.35">
      <c r="A55" t="s">
        <v>111</v>
      </c>
      <c r="B55" s="2">
        <v>46177</v>
      </c>
      <c r="C55" t="s">
        <v>21</v>
      </c>
      <c r="D55" t="s">
        <v>33</v>
      </c>
      <c r="E55" t="s">
        <v>49</v>
      </c>
      <c r="F55" t="s">
        <v>34</v>
      </c>
      <c r="G55" t="s">
        <v>47</v>
      </c>
      <c r="H55" t="s">
        <v>36</v>
      </c>
      <c r="I55" t="s">
        <v>37</v>
      </c>
      <c r="J55">
        <v>3</v>
      </c>
      <c r="K55">
        <v>419.06</v>
      </c>
      <c r="L55" s="3">
        <v>0.12</v>
      </c>
      <c r="M55">
        <f t="shared" si="5"/>
        <v>1257.18</v>
      </c>
      <c r="N55">
        <f t="shared" si="6"/>
        <v>150.86160000000001</v>
      </c>
      <c r="O55">
        <f t="shared" si="7"/>
        <v>1106.3184000000001</v>
      </c>
      <c r="P55">
        <f>M55*0.55</f>
        <v>691.44900000000007</v>
      </c>
      <c r="Q55">
        <f t="shared" si="8"/>
        <v>414.86940000000004</v>
      </c>
      <c r="R55" s="3">
        <f t="shared" si="9"/>
        <v>0.375</v>
      </c>
      <c r="S55">
        <v>5</v>
      </c>
      <c r="T55" t="s">
        <v>44</v>
      </c>
    </row>
    <row r="56" spans="1:20" x14ac:dyDescent="0.35">
      <c r="A56" t="s">
        <v>112</v>
      </c>
      <c r="B56" s="2">
        <v>46065</v>
      </c>
      <c r="C56" t="s">
        <v>40</v>
      </c>
      <c r="D56" t="s">
        <v>51</v>
      </c>
      <c r="E56" t="s">
        <v>57</v>
      </c>
      <c r="F56" t="s">
        <v>34</v>
      </c>
      <c r="G56" t="s">
        <v>41</v>
      </c>
      <c r="H56" t="s">
        <v>63</v>
      </c>
      <c r="I56" t="s">
        <v>64</v>
      </c>
      <c r="J56">
        <v>44</v>
      </c>
      <c r="K56">
        <v>87.91</v>
      </c>
      <c r="L56" s="3">
        <v>0.12</v>
      </c>
      <c r="M56">
        <f t="shared" si="5"/>
        <v>3868.04</v>
      </c>
      <c r="N56">
        <f t="shared" si="6"/>
        <v>464.16479999999996</v>
      </c>
      <c r="O56">
        <f t="shared" si="7"/>
        <v>3403.8751999999999</v>
      </c>
      <c r="P56">
        <f>M56*0.48</f>
        <v>1856.6591999999998</v>
      </c>
      <c r="Q56">
        <f t="shared" si="8"/>
        <v>1547.2160000000001</v>
      </c>
      <c r="R56" s="3">
        <f t="shared" si="9"/>
        <v>0.45454545454545459</v>
      </c>
      <c r="S56">
        <v>4</v>
      </c>
      <c r="T56" t="s">
        <v>38</v>
      </c>
    </row>
    <row r="57" spans="1:20" x14ac:dyDescent="0.35">
      <c r="A57" t="s">
        <v>113</v>
      </c>
      <c r="B57" s="2">
        <v>46141</v>
      </c>
      <c r="C57" t="s">
        <v>30</v>
      </c>
      <c r="D57" t="s">
        <v>22</v>
      </c>
      <c r="E57" t="s">
        <v>23</v>
      </c>
      <c r="F57" t="s">
        <v>24</v>
      </c>
      <c r="G57" t="s">
        <v>41</v>
      </c>
      <c r="H57" t="s">
        <v>36</v>
      </c>
      <c r="I57" t="s">
        <v>37</v>
      </c>
      <c r="J57">
        <v>31</v>
      </c>
      <c r="K57">
        <v>413.86</v>
      </c>
      <c r="L57" s="3">
        <v>0.08</v>
      </c>
      <c r="M57">
        <f t="shared" si="5"/>
        <v>12829.66</v>
      </c>
      <c r="N57">
        <f t="shared" si="6"/>
        <v>1026.3728000000001</v>
      </c>
      <c r="O57">
        <f t="shared" si="7"/>
        <v>11803.287199999999</v>
      </c>
      <c r="P57">
        <f>M57*0.55</f>
        <v>7056.3130000000001</v>
      </c>
      <c r="Q57">
        <f t="shared" si="8"/>
        <v>4746.9741999999987</v>
      </c>
      <c r="R57" s="3">
        <f t="shared" si="9"/>
        <v>0.40217391304347822</v>
      </c>
      <c r="S57">
        <v>4</v>
      </c>
      <c r="T57" t="s">
        <v>44</v>
      </c>
    </row>
    <row r="58" spans="1:20" x14ac:dyDescent="0.35">
      <c r="A58" t="s">
        <v>114</v>
      </c>
      <c r="B58" s="2">
        <v>46087</v>
      </c>
      <c r="C58" t="s">
        <v>59</v>
      </c>
      <c r="D58" t="s">
        <v>33</v>
      </c>
      <c r="E58" t="s">
        <v>57</v>
      </c>
      <c r="F58" t="s">
        <v>34</v>
      </c>
      <c r="G58" t="s">
        <v>35</v>
      </c>
      <c r="H58" t="s">
        <v>26</v>
      </c>
      <c r="I58" t="s">
        <v>27</v>
      </c>
      <c r="J58">
        <v>24</v>
      </c>
      <c r="K58">
        <v>559.61</v>
      </c>
      <c r="L58" s="3">
        <v>0</v>
      </c>
      <c r="M58">
        <f t="shared" si="5"/>
        <v>13430.64</v>
      </c>
      <c r="N58">
        <f t="shared" si="6"/>
        <v>0</v>
      </c>
      <c r="O58">
        <f t="shared" si="7"/>
        <v>13430.64</v>
      </c>
      <c r="P58">
        <f>M58*0.58</f>
        <v>7789.7711999999992</v>
      </c>
      <c r="Q58">
        <f t="shared" si="8"/>
        <v>5640.8688000000002</v>
      </c>
      <c r="R58" s="3">
        <f t="shared" si="9"/>
        <v>0.42000000000000004</v>
      </c>
      <c r="S58">
        <v>5</v>
      </c>
      <c r="T58" t="s">
        <v>38</v>
      </c>
    </row>
    <row r="59" spans="1:20" x14ac:dyDescent="0.35">
      <c r="A59" t="s">
        <v>115</v>
      </c>
      <c r="B59" s="2">
        <v>46030</v>
      </c>
      <c r="C59" t="s">
        <v>67</v>
      </c>
      <c r="D59" t="s">
        <v>51</v>
      </c>
      <c r="E59" t="s">
        <v>57</v>
      </c>
      <c r="F59" t="s">
        <v>24</v>
      </c>
      <c r="G59" t="s">
        <v>25</v>
      </c>
      <c r="H59" t="s">
        <v>36</v>
      </c>
      <c r="I59" t="s">
        <v>37</v>
      </c>
      <c r="J59">
        <v>32</v>
      </c>
      <c r="K59">
        <v>442.63</v>
      </c>
      <c r="L59" s="3">
        <v>0.1</v>
      </c>
      <c r="M59">
        <f t="shared" si="5"/>
        <v>14164.16</v>
      </c>
      <c r="N59">
        <f t="shared" si="6"/>
        <v>1416.4160000000002</v>
      </c>
      <c r="O59">
        <f t="shared" si="7"/>
        <v>12747.743999999999</v>
      </c>
      <c r="P59">
        <f>M59*0.55</f>
        <v>7790.2880000000005</v>
      </c>
      <c r="Q59">
        <f t="shared" si="8"/>
        <v>4957.4559999999983</v>
      </c>
      <c r="R59" s="3">
        <f t="shared" si="9"/>
        <v>0.38888888888888878</v>
      </c>
      <c r="S59">
        <v>4</v>
      </c>
      <c r="T59" t="s">
        <v>44</v>
      </c>
    </row>
    <row r="60" spans="1:20" x14ac:dyDescent="0.35">
      <c r="A60" t="s">
        <v>116</v>
      </c>
      <c r="B60" s="2">
        <v>46202</v>
      </c>
      <c r="C60" t="s">
        <v>21</v>
      </c>
      <c r="D60" t="s">
        <v>56</v>
      </c>
      <c r="E60" t="s">
        <v>86</v>
      </c>
      <c r="F60" t="s">
        <v>34</v>
      </c>
      <c r="G60" t="s">
        <v>35</v>
      </c>
      <c r="H60" t="s">
        <v>42</v>
      </c>
      <c r="I60" t="s">
        <v>43</v>
      </c>
      <c r="J60">
        <v>12</v>
      </c>
      <c r="K60">
        <v>178.07</v>
      </c>
      <c r="L60" s="3">
        <v>0</v>
      </c>
      <c r="M60">
        <f t="shared" si="5"/>
        <v>2136.84</v>
      </c>
      <c r="N60">
        <f t="shared" si="6"/>
        <v>0</v>
      </c>
      <c r="O60">
        <f t="shared" si="7"/>
        <v>2136.84</v>
      </c>
      <c r="P60">
        <f>M60*0.5</f>
        <v>1068.42</v>
      </c>
      <c r="Q60">
        <f t="shared" si="8"/>
        <v>1068.42</v>
      </c>
      <c r="R60" s="3">
        <f t="shared" si="9"/>
        <v>0.5</v>
      </c>
      <c r="S60">
        <v>5</v>
      </c>
      <c r="T60" t="s">
        <v>38</v>
      </c>
    </row>
    <row r="61" spans="1:20" x14ac:dyDescent="0.35">
      <c r="A61" t="s">
        <v>117</v>
      </c>
      <c r="B61" s="2">
        <v>46102</v>
      </c>
      <c r="C61" t="s">
        <v>59</v>
      </c>
      <c r="D61" t="s">
        <v>33</v>
      </c>
      <c r="E61" t="s">
        <v>60</v>
      </c>
      <c r="F61" t="s">
        <v>24</v>
      </c>
      <c r="G61" t="s">
        <v>25</v>
      </c>
      <c r="H61" t="s">
        <v>36</v>
      </c>
      <c r="I61" t="s">
        <v>70</v>
      </c>
      <c r="J61">
        <v>42</v>
      </c>
      <c r="K61">
        <v>726.43</v>
      </c>
      <c r="L61" s="3">
        <v>0.12</v>
      </c>
      <c r="M61">
        <f t="shared" si="5"/>
        <v>30510.059999999998</v>
      </c>
      <c r="N61">
        <f t="shared" si="6"/>
        <v>3661.2071999999994</v>
      </c>
      <c r="O61">
        <f t="shared" si="7"/>
        <v>26848.852799999997</v>
      </c>
      <c r="P61">
        <f>M61*0.6</f>
        <v>18306.035999999996</v>
      </c>
      <c r="Q61">
        <f t="shared" si="8"/>
        <v>8542.8168000000005</v>
      </c>
      <c r="R61" s="3">
        <f t="shared" si="9"/>
        <v>0.31818181818181823</v>
      </c>
      <c r="S61">
        <v>4</v>
      </c>
      <c r="T61" t="s">
        <v>28</v>
      </c>
    </row>
    <row r="62" spans="1:20" x14ac:dyDescent="0.35">
      <c r="A62" t="s">
        <v>118</v>
      </c>
      <c r="B62" s="2">
        <v>46053</v>
      </c>
      <c r="C62" t="s">
        <v>67</v>
      </c>
      <c r="D62" t="s">
        <v>22</v>
      </c>
      <c r="E62" t="s">
        <v>52</v>
      </c>
      <c r="F62" t="s">
        <v>34</v>
      </c>
      <c r="G62" t="s">
        <v>41</v>
      </c>
      <c r="H62" t="s">
        <v>36</v>
      </c>
      <c r="I62" t="s">
        <v>70</v>
      </c>
      <c r="J62">
        <v>6</v>
      </c>
      <c r="K62">
        <v>765.89</v>
      </c>
      <c r="L62" s="3">
        <v>0.05</v>
      </c>
      <c r="M62">
        <f t="shared" si="5"/>
        <v>4595.34</v>
      </c>
      <c r="N62">
        <f t="shared" si="6"/>
        <v>229.76700000000002</v>
      </c>
      <c r="O62">
        <f t="shared" si="7"/>
        <v>4365.5730000000003</v>
      </c>
      <c r="P62">
        <f>M62*0.6</f>
        <v>2757.2040000000002</v>
      </c>
      <c r="Q62">
        <f t="shared" si="8"/>
        <v>1608.3690000000001</v>
      </c>
      <c r="R62" s="3">
        <f t="shared" si="9"/>
        <v>0.36842105263157893</v>
      </c>
      <c r="S62">
        <v>3</v>
      </c>
      <c r="T62" t="s">
        <v>44</v>
      </c>
    </row>
    <row r="63" spans="1:20" x14ac:dyDescent="0.35">
      <c r="A63" t="s">
        <v>119</v>
      </c>
      <c r="B63" s="2">
        <v>46148</v>
      </c>
      <c r="C63" t="s">
        <v>46</v>
      </c>
      <c r="D63" t="s">
        <v>33</v>
      </c>
      <c r="E63" t="s">
        <v>52</v>
      </c>
      <c r="F63" t="s">
        <v>34</v>
      </c>
      <c r="G63" t="s">
        <v>41</v>
      </c>
      <c r="H63" t="s">
        <v>26</v>
      </c>
      <c r="I63" t="s">
        <v>27</v>
      </c>
      <c r="J63">
        <v>29</v>
      </c>
      <c r="K63">
        <v>554.03</v>
      </c>
      <c r="L63" s="3">
        <v>0.1</v>
      </c>
      <c r="M63">
        <f t="shared" si="5"/>
        <v>16066.869999999999</v>
      </c>
      <c r="N63">
        <f t="shared" si="6"/>
        <v>1606.6869999999999</v>
      </c>
      <c r="O63">
        <f t="shared" si="7"/>
        <v>14460.182999999999</v>
      </c>
      <c r="P63">
        <f>M63*0.58</f>
        <v>9318.784599999999</v>
      </c>
      <c r="Q63">
        <f t="shared" si="8"/>
        <v>5141.3984</v>
      </c>
      <c r="R63" s="3">
        <f t="shared" si="9"/>
        <v>0.35555555555555557</v>
      </c>
      <c r="S63">
        <v>5</v>
      </c>
      <c r="T63" t="s">
        <v>38</v>
      </c>
    </row>
    <row r="64" spans="1:20" x14ac:dyDescent="0.35">
      <c r="A64" t="s">
        <v>120</v>
      </c>
      <c r="B64" s="2">
        <v>46180</v>
      </c>
      <c r="C64" t="s">
        <v>21</v>
      </c>
      <c r="D64" t="s">
        <v>33</v>
      </c>
      <c r="E64" t="s">
        <v>79</v>
      </c>
      <c r="F64" t="s">
        <v>34</v>
      </c>
      <c r="G64" t="s">
        <v>41</v>
      </c>
      <c r="H64" t="s">
        <v>36</v>
      </c>
      <c r="I64" t="s">
        <v>70</v>
      </c>
      <c r="J64">
        <v>39</v>
      </c>
      <c r="K64">
        <v>730.26</v>
      </c>
      <c r="L64" s="3">
        <v>0.03</v>
      </c>
      <c r="M64">
        <f t="shared" si="5"/>
        <v>28480.14</v>
      </c>
      <c r="N64">
        <f t="shared" si="6"/>
        <v>854.40419999999995</v>
      </c>
      <c r="O64">
        <f t="shared" si="7"/>
        <v>27625.735799999999</v>
      </c>
      <c r="P64">
        <f>M64*0.6</f>
        <v>17088.083999999999</v>
      </c>
      <c r="Q64">
        <f t="shared" si="8"/>
        <v>10537.6518</v>
      </c>
      <c r="R64" s="3">
        <f t="shared" si="9"/>
        <v>0.3814432989690722</v>
      </c>
      <c r="S64">
        <v>3</v>
      </c>
      <c r="T64" t="s">
        <v>38</v>
      </c>
    </row>
    <row r="65" spans="1:20" x14ac:dyDescent="0.35">
      <c r="A65" t="s">
        <v>121</v>
      </c>
      <c r="B65" s="2">
        <v>46138</v>
      </c>
      <c r="C65" t="s">
        <v>30</v>
      </c>
      <c r="D65" t="s">
        <v>33</v>
      </c>
      <c r="E65" t="s">
        <v>60</v>
      </c>
      <c r="F65" t="s">
        <v>24</v>
      </c>
      <c r="G65" t="s">
        <v>47</v>
      </c>
      <c r="H65" t="s">
        <v>36</v>
      </c>
      <c r="I65" t="s">
        <v>37</v>
      </c>
      <c r="J65">
        <v>22</v>
      </c>
      <c r="K65">
        <v>401.67</v>
      </c>
      <c r="L65" s="3">
        <v>0.03</v>
      </c>
      <c r="M65">
        <f t="shared" si="5"/>
        <v>8836.74</v>
      </c>
      <c r="N65">
        <f t="shared" si="6"/>
        <v>265.10219999999998</v>
      </c>
      <c r="O65">
        <f t="shared" si="7"/>
        <v>8571.6378000000004</v>
      </c>
      <c r="P65">
        <f>M65*0.55</f>
        <v>4860.2070000000003</v>
      </c>
      <c r="Q65">
        <f t="shared" si="8"/>
        <v>3711.4308000000001</v>
      </c>
      <c r="R65" s="3">
        <f t="shared" si="9"/>
        <v>0.4329896907216495</v>
      </c>
      <c r="S65">
        <v>4</v>
      </c>
      <c r="T65" t="s">
        <v>38</v>
      </c>
    </row>
    <row r="66" spans="1:20" x14ac:dyDescent="0.35">
      <c r="A66" t="s">
        <v>122</v>
      </c>
      <c r="B66" s="2">
        <v>46110</v>
      </c>
      <c r="C66" t="s">
        <v>59</v>
      </c>
      <c r="D66" t="s">
        <v>62</v>
      </c>
      <c r="E66" t="s">
        <v>23</v>
      </c>
      <c r="F66" t="s">
        <v>34</v>
      </c>
      <c r="G66" t="s">
        <v>35</v>
      </c>
      <c r="H66" t="s">
        <v>42</v>
      </c>
      <c r="I66" t="s">
        <v>43</v>
      </c>
      <c r="J66">
        <v>14</v>
      </c>
      <c r="K66">
        <v>149.94</v>
      </c>
      <c r="L66" s="3">
        <v>0.12</v>
      </c>
      <c r="M66">
        <f t="shared" ref="M66:M97" si="10">J66*K66</f>
        <v>2099.16</v>
      </c>
      <c r="N66">
        <f t="shared" ref="N66:N97" si="11">M66*L66</f>
        <v>251.89919999999998</v>
      </c>
      <c r="O66">
        <f t="shared" ref="O66:O97" si="12">M66-N66</f>
        <v>1847.2607999999998</v>
      </c>
      <c r="P66">
        <f>M66*0.5</f>
        <v>1049.58</v>
      </c>
      <c r="Q66">
        <f t="shared" ref="Q66:Q97" si="13">O66-P66</f>
        <v>797.68079999999986</v>
      </c>
      <c r="R66" s="3">
        <f t="shared" ref="R66:R97" si="14">Q66/O66</f>
        <v>0.43181818181818177</v>
      </c>
      <c r="S66">
        <v>4</v>
      </c>
      <c r="T66" t="s">
        <v>44</v>
      </c>
    </row>
    <row r="67" spans="1:20" x14ac:dyDescent="0.35">
      <c r="A67" t="s">
        <v>123</v>
      </c>
      <c r="B67" s="2">
        <v>46165</v>
      </c>
      <c r="C67" t="s">
        <v>46</v>
      </c>
      <c r="D67" t="s">
        <v>33</v>
      </c>
      <c r="E67" t="s">
        <v>79</v>
      </c>
      <c r="F67" t="s">
        <v>34</v>
      </c>
      <c r="G67" t="s">
        <v>41</v>
      </c>
      <c r="H67" t="s">
        <v>36</v>
      </c>
      <c r="I67" t="s">
        <v>37</v>
      </c>
      <c r="J67">
        <v>7</v>
      </c>
      <c r="K67">
        <v>411.12</v>
      </c>
      <c r="L67" s="3">
        <v>0.08</v>
      </c>
      <c r="M67">
        <f t="shared" si="10"/>
        <v>2877.84</v>
      </c>
      <c r="N67">
        <f t="shared" si="11"/>
        <v>230.22720000000001</v>
      </c>
      <c r="O67">
        <f t="shared" si="12"/>
        <v>2647.6128000000003</v>
      </c>
      <c r="P67">
        <f>M67*0.55</f>
        <v>1582.8120000000001</v>
      </c>
      <c r="Q67">
        <f t="shared" si="13"/>
        <v>1064.8008000000002</v>
      </c>
      <c r="R67" s="3">
        <f t="shared" si="14"/>
        <v>0.40217391304347827</v>
      </c>
      <c r="S67">
        <v>5</v>
      </c>
      <c r="T67" t="s">
        <v>38</v>
      </c>
    </row>
    <row r="68" spans="1:20" x14ac:dyDescent="0.35">
      <c r="A68" t="s">
        <v>124</v>
      </c>
      <c r="B68" s="2">
        <v>46101</v>
      </c>
      <c r="C68" t="s">
        <v>59</v>
      </c>
      <c r="D68" t="s">
        <v>62</v>
      </c>
      <c r="E68" t="s">
        <v>52</v>
      </c>
      <c r="F68" t="s">
        <v>34</v>
      </c>
      <c r="G68" t="s">
        <v>41</v>
      </c>
      <c r="H68" t="s">
        <v>26</v>
      </c>
      <c r="I68" t="s">
        <v>54</v>
      </c>
      <c r="J68">
        <v>24</v>
      </c>
      <c r="K68">
        <v>311.58</v>
      </c>
      <c r="L68" s="3">
        <v>0.12</v>
      </c>
      <c r="M68">
        <f t="shared" si="10"/>
        <v>7477.92</v>
      </c>
      <c r="N68">
        <f t="shared" si="11"/>
        <v>897.35039999999992</v>
      </c>
      <c r="O68">
        <f t="shared" si="12"/>
        <v>6580.5695999999998</v>
      </c>
      <c r="P68">
        <f>M68*0.54</f>
        <v>4038.0768000000003</v>
      </c>
      <c r="Q68">
        <f t="shared" si="13"/>
        <v>2542.4927999999995</v>
      </c>
      <c r="R68" s="3">
        <f t="shared" si="14"/>
        <v>0.3863636363636363</v>
      </c>
      <c r="S68">
        <v>5</v>
      </c>
      <c r="T68" t="s">
        <v>38</v>
      </c>
    </row>
    <row r="69" spans="1:20" x14ac:dyDescent="0.35">
      <c r="A69" t="s">
        <v>125</v>
      </c>
      <c r="B69" s="2">
        <v>46113</v>
      </c>
      <c r="C69" t="s">
        <v>30</v>
      </c>
      <c r="D69" t="s">
        <v>33</v>
      </c>
      <c r="E69" t="s">
        <v>23</v>
      </c>
      <c r="F69" t="s">
        <v>24</v>
      </c>
      <c r="G69" t="s">
        <v>47</v>
      </c>
      <c r="H69" t="s">
        <v>26</v>
      </c>
      <c r="I69" t="s">
        <v>54</v>
      </c>
      <c r="J69">
        <v>9</v>
      </c>
      <c r="K69">
        <v>329.92</v>
      </c>
      <c r="L69" s="3">
        <v>0.05</v>
      </c>
      <c r="M69">
        <f t="shared" si="10"/>
        <v>2969.28</v>
      </c>
      <c r="N69">
        <f t="shared" si="11"/>
        <v>148.46400000000003</v>
      </c>
      <c r="O69">
        <f t="shared" si="12"/>
        <v>2820.8160000000003</v>
      </c>
      <c r="P69">
        <f>M69*0.54</f>
        <v>1603.4112000000002</v>
      </c>
      <c r="Q69">
        <f t="shared" si="13"/>
        <v>1217.4048</v>
      </c>
      <c r="R69" s="3">
        <f t="shared" si="14"/>
        <v>0.43157894736842101</v>
      </c>
      <c r="S69">
        <v>3</v>
      </c>
      <c r="T69" t="s">
        <v>28</v>
      </c>
    </row>
    <row r="70" spans="1:20" x14ac:dyDescent="0.35">
      <c r="A70" t="s">
        <v>126</v>
      </c>
      <c r="B70" s="2">
        <v>46199</v>
      </c>
      <c r="C70" t="s">
        <v>21</v>
      </c>
      <c r="D70" t="s">
        <v>51</v>
      </c>
      <c r="E70" t="s">
        <v>49</v>
      </c>
      <c r="F70" t="s">
        <v>24</v>
      </c>
      <c r="G70" t="s">
        <v>41</v>
      </c>
      <c r="H70" t="s">
        <v>36</v>
      </c>
      <c r="I70" t="s">
        <v>37</v>
      </c>
      <c r="J70">
        <v>39</v>
      </c>
      <c r="K70">
        <v>468.43</v>
      </c>
      <c r="L70" s="3">
        <v>0.1</v>
      </c>
      <c r="M70">
        <f t="shared" si="10"/>
        <v>18268.77</v>
      </c>
      <c r="N70">
        <f t="shared" si="11"/>
        <v>1826.8770000000002</v>
      </c>
      <c r="O70">
        <f t="shared" si="12"/>
        <v>16441.893</v>
      </c>
      <c r="P70">
        <f>M70*0.55</f>
        <v>10047.8235</v>
      </c>
      <c r="Q70">
        <f t="shared" si="13"/>
        <v>6394.0694999999996</v>
      </c>
      <c r="R70" s="3">
        <f t="shared" si="14"/>
        <v>0.38888888888888884</v>
      </c>
      <c r="S70">
        <v>5</v>
      </c>
      <c r="T70" t="s">
        <v>38</v>
      </c>
    </row>
    <row r="71" spans="1:20" x14ac:dyDescent="0.35">
      <c r="A71" t="s">
        <v>127</v>
      </c>
      <c r="B71" s="2">
        <v>46048</v>
      </c>
      <c r="C71" t="s">
        <v>67</v>
      </c>
      <c r="D71" t="s">
        <v>56</v>
      </c>
      <c r="E71" t="s">
        <v>49</v>
      </c>
      <c r="F71" t="s">
        <v>24</v>
      </c>
      <c r="G71" t="s">
        <v>47</v>
      </c>
      <c r="H71" t="s">
        <v>36</v>
      </c>
      <c r="I71" t="s">
        <v>37</v>
      </c>
      <c r="J71">
        <v>2</v>
      </c>
      <c r="K71">
        <v>445.87</v>
      </c>
      <c r="L71" s="3">
        <v>0.03</v>
      </c>
      <c r="M71">
        <f t="shared" si="10"/>
        <v>891.74</v>
      </c>
      <c r="N71">
        <f t="shared" si="11"/>
        <v>26.752199999999998</v>
      </c>
      <c r="O71">
        <f t="shared" si="12"/>
        <v>864.98779999999999</v>
      </c>
      <c r="P71">
        <f>M71*0.55</f>
        <v>490.45700000000005</v>
      </c>
      <c r="Q71">
        <f t="shared" si="13"/>
        <v>374.53079999999994</v>
      </c>
      <c r="R71" s="3">
        <f t="shared" si="14"/>
        <v>0.43298969072164945</v>
      </c>
      <c r="S71">
        <v>4</v>
      </c>
      <c r="T71" t="s">
        <v>38</v>
      </c>
    </row>
    <row r="72" spans="1:20" x14ac:dyDescent="0.35">
      <c r="A72" t="s">
        <v>128</v>
      </c>
      <c r="B72" s="2">
        <v>46036</v>
      </c>
      <c r="C72" t="s">
        <v>67</v>
      </c>
      <c r="D72" t="s">
        <v>56</v>
      </c>
      <c r="E72" t="s">
        <v>86</v>
      </c>
      <c r="F72" t="s">
        <v>24</v>
      </c>
      <c r="G72" t="s">
        <v>41</v>
      </c>
      <c r="H72" t="s">
        <v>36</v>
      </c>
      <c r="I72" t="s">
        <v>70</v>
      </c>
      <c r="J72">
        <v>2</v>
      </c>
      <c r="K72">
        <v>776.11</v>
      </c>
      <c r="L72" s="3">
        <v>0.08</v>
      </c>
      <c r="M72">
        <f t="shared" si="10"/>
        <v>1552.22</v>
      </c>
      <c r="N72">
        <f t="shared" si="11"/>
        <v>124.1776</v>
      </c>
      <c r="O72">
        <f t="shared" si="12"/>
        <v>1428.0424</v>
      </c>
      <c r="P72">
        <f>M72*0.6</f>
        <v>931.33199999999999</v>
      </c>
      <c r="Q72">
        <f t="shared" si="13"/>
        <v>496.71040000000005</v>
      </c>
      <c r="R72" s="3">
        <f t="shared" si="14"/>
        <v>0.34782608695652178</v>
      </c>
      <c r="S72">
        <v>4</v>
      </c>
      <c r="T72" t="s">
        <v>44</v>
      </c>
    </row>
    <row r="73" spans="1:20" x14ac:dyDescent="0.35">
      <c r="A73" t="s">
        <v>129</v>
      </c>
      <c r="B73" s="2">
        <v>46110</v>
      </c>
      <c r="C73" t="s">
        <v>59</v>
      </c>
      <c r="D73" t="s">
        <v>22</v>
      </c>
      <c r="E73" t="s">
        <v>23</v>
      </c>
      <c r="F73" t="s">
        <v>24</v>
      </c>
      <c r="G73" t="s">
        <v>41</v>
      </c>
      <c r="H73" t="s">
        <v>36</v>
      </c>
      <c r="I73" t="s">
        <v>37</v>
      </c>
      <c r="J73">
        <v>6</v>
      </c>
      <c r="K73">
        <v>420.06</v>
      </c>
      <c r="L73" s="3">
        <v>0</v>
      </c>
      <c r="M73">
        <f t="shared" si="10"/>
        <v>2520.36</v>
      </c>
      <c r="N73">
        <f t="shared" si="11"/>
        <v>0</v>
      </c>
      <c r="O73">
        <f t="shared" si="12"/>
        <v>2520.36</v>
      </c>
      <c r="P73">
        <f>M73*0.55</f>
        <v>1386.1980000000001</v>
      </c>
      <c r="Q73">
        <f t="shared" si="13"/>
        <v>1134.162</v>
      </c>
      <c r="R73" s="3">
        <f t="shared" si="14"/>
        <v>0.45</v>
      </c>
      <c r="S73">
        <v>5</v>
      </c>
      <c r="T73" t="s">
        <v>38</v>
      </c>
    </row>
    <row r="74" spans="1:20" x14ac:dyDescent="0.35">
      <c r="A74" t="s">
        <v>130</v>
      </c>
      <c r="B74" s="2">
        <v>46061</v>
      </c>
      <c r="C74" t="s">
        <v>40</v>
      </c>
      <c r="D74" t="s">
        <v>62</v>
      </c>
      <c r="E74" t="s">
        <v>23</v>
      </c>
      <c r="F74" t="s">
        <v>34</v>
      </c>
      <c r="G74" t="s">
        <v>35</v>
      </c>
      <c r="H74" t="s">
        <v>36</v>
      </c>
      <c r="I74" t="s">
        <v>37</v>
      </c>
      <c r="J74">
        <v>9</v>
      </c>
      <c r="K74">
        <v>433.28</v>
      </c>
      <c r="L74" s="3">
        <v>0.08</v>
      </c>
      <c r="M74">
        <f t="shared" si="10"/>
        <v>3899.5199999999995</v>
      </c>
      <c r="N74">
        <f t="shared" si="11"/>
        <v>311.96159999999998</v>
      </c>
      <c r="O74">
        <f t="shared" si="12"/>
        <v>3587.5583999999994</v>
      </c>
      <c r="P74">
        <f>M74*0.55</f>
        <v>2144.7359999999999</v>
      </c>
      <c r="Q74">
        <f t="shared" si="13"/>
        <v>1442.8223999999996</v>
      </c>
      <c r="R74" s="3">
        <f t="shared" si="14"/>
        <v>0.40217391304347822</v>
      </c>
      <c r="S74">
        <v>5</v>
      </c>
      <c r="T74" t="s">
        <v>28</v>
      </c>
    </row>
    <row r="75" spans="1:20" x14ac:dyDescent="0.35">
      <c r="A75" t="s">
        <v>131</v>
      </c>
      <c r="B75" s="2">
        <v>46181</v>
      </c>
      <c r="C75" t="s">
        <v>21</v>
      </c>
      <c r="D75" t="s">
        <v>62</v>
      </c>
      <c r="E75" t="s">
        <v>60</v>
      </c>
      <c r="F75" t="s">
        <v>34</v>
      </c>
      <c r="G75" t="s">
        <v>41</v>
      </c>
      <c r="H75" t="s">
        <v>36</v>
      </c>
      <c r="I75" t="s">
        <v>37</v>
      </c>
      <c r="J75">
        <v>21</v>
      </c>
      <c r="K75">
        <v>458.65</v>
      </c>
      <c r="L75" s="3">
        <v>0.08</v>
      </c>
      <c r="M75">
        <f t="shared" si="10"/>
        <v>9631.65</v>
      </c>
      <c r="N75">
        <f t="shared" si="11"/>
        <v>770.53200000000004</v>
      </c>
      <c r="O75">
        <f t="shared" si="12"/>
        <v>8861.1180000000004</v>
      </c>
      <c r="P75">
        <f>M75*0.55</f>
        <v>5297.4075000000003</v>
      </c>
      <c r="Q75">
        <f t="shared" si="13"/>
        <v>3563.7105000000001</v>
      </c>
      <c r="R75" s="3">
        <f t="shared" si="14"/>
        <v>0.40217391304347827</v>
      </c>
      <c r="S75">
        <v>4</v>
      </c>
      <c r="T75" t="s">
        <v>28</v>
      </c>
    </row>
    <row r="76" spans="1:20" x14ac:dyDescent="0.35">
      <c r="A76" t="s">
        <v>132</v>
      </c>
      <c r="B76" s="2">
        <v>46181</v>
      </c>
      <c r="C76" t="s">
        <v>21</v>
      </c>
      <c r="D76" t="s">
        <v>62</v>
      </c>
      <c r="E76" t="s">
        <v>31</v>
      </c>
      <c r="F76" t="s">
        <v>34</v>
      </c>
      <c r="G76" t="s">
        <v>25</v>
      </c>
      <c r="H76" t="s">
        <v>26</v>
      </c>
      <c r="I76" t="s">
        <v>27</v>
      </c>
      <c r="J76">
        <v>18</v>
      </c>
      <c r="K76">
        <v>610.21</v>
      </c>
      <c r="L76" s="3">
        <v>0.03</v>
      </c>
      <c r="M76">
        <f t="shared" si="10"/>
        <v>10983.78</v>
      </c>
      <c r="N76">
        <f t="shared" si="11"/>
        <v>329.51339999999999</v>
      </c>
      <c r="O76">
        <f t="shared" si="12"/>
        <v>10654.266600000001</v>
      </c>
      <c r="P76">
        <f>M76*0.58</f>
        <v>6370.5923999999995</v>
      </c>
      <c r="Q76">
        <f t="shared" si="13"/>
        <v>4283.6742000000013</v>
      </c>
      <c r="R76" s="3">
        <f t="shared" si="14"/>
        <v>0.40206185567010316</v>
      </c>
      <c r="S76">
        <v>4</v>
      </c>
      <c r="T76" t="s">
        <v>38</v>
      </c>
    </row>
    <row r="77" spans="1:20" x14ac:dyDescent="0.35">
      <c r="A77" t="s">
        <v>133</v>
      </c>
      <c r="B77" s="2">
        <v>46164</v>
      </c>
      <c r="C77" t="s">
        <v>46</v>
      </c>
      <c r="D77" t="s">
        <v>51</v>
      </c>
      <c r="E77" t="s">
        <v>57</v>
      </c>
      <c r="F77" t="s">
        <v>34</v>
      </c>
      <c r="G77" t="s">
        <v>41</v>
      </c>
      <c r="H77" t="s">
        <v>26</v>
      </c>
      <c r="I77" t="s">
        <v>27</v>
      </c>
      <c r="J77">
        <v>40</v>
      </c>
      <c r="K77">
        <v>588.11</v>
      </c>
      <c r="L77" s="3">
        <v>0</v>
      </c>
      <c r="M77">
        <f t="shared" si="10"/>
        <v>23524.400000000001</v>
      </c>
      <c r="N77">
        <f t="shared" si="11"/>
        <v>0</v>
      </c>
      <c r="O77">
        <f t="shared" si="12"/>
        <v>23524.400000000001</v>
      </c>
      <c r="P77">
        <f>M77*0.58</f>
        <v>13644.152</v>
      </c>
      <c r="Q77">
        <f t="shared" si="13"/>
        <v>9880.2480000000014</v>
      </c>
      <c r="R77" s="3">
        <f t="shared" si="14"/>
        <v>0.42000000000000004</v>
      </c>
      <c r="S77">
        <v>4</v>
      </c>
      <c r="T77" t="s">
        <v>38</v>
      </c>
    </row>
    <row r="78" spans="1:20" x14ac:dyDescent="0.35">
      <c r="A78" t="s">
        <v>134</v>
      </c>
      <c r="B78" s="2">
        <v>46203</v>
      </c>
      <c r="C78" t="s">
        <v>21</v>
      </c>
      <c r="D78" t="s">
        <v>33</v>
      </c>
      <c r="E78" t="s">
        <v>31</v>
      </c>
      <c r="F78" t="s">
        <v>34</v>
      </c>
      <c r="G78" t="s">
        <v>25</v>
      </c>
      <c r="H78" t="s">
        <v>42</v>
      </c>
      <c r="I78" t="s">
        <v>43</v>
      </c>
      <c r="J78">
        <v>42</v>
      </c>
      <c r="K78">
        <v>166.07</v>
      </c>
      <c r="L78" s="3">
        <v>0.03</v>
      </c>
      <c r="M78">
        <f t="shared" si="10"/>
        <v>6974.94</v>
      </c>
      <c r="N78">
        <f t="shared" si="11"/>
        <v>209.24819999999997</v>
      </c>
      <c r="O78">
        <f t="shared" si="12"/>
        <v>6765.6917999999996</v>
      </c>
      <c r="P78">
        <f>M78*0.5</f>
        <v>3487.47</v>
      </c>
      <c r="Q78">
        <f t="shared" si="13"/>
        <v>3278.2217999999998</v>
      </c>
      <c r="R78" s="3">
        <f t="shared" si="14"/>
        <v>0.4845360824742268</v>
      </c>
      <c r="S78">
        <v>4</v>
      </c>
      <c r="T78" t="s">
        <v>38</v>
      </c>
    </row>
    <row r="79" spans="1:20" x14ac:dyDescent="0.35">
      <c r="A79" t="s">
        <v>135</v>
      </c>
      <c r="B79" s="2">
        <v>46162</v>
      </c>
      <c r="C79" t="s">
        <v>46</v>
      </c>
      <c r="D79" t="s">
        <v>51</v>
      </c>
      <c r="E79" t="s">
        <v>23</v>
      </c>
      <c r="F79" t="s">
        <v>24</v>
      </c>
      <c r="G79" t="s">
        <v>25</v>
      </c>
      <c r="H79" t="s">
        <v>36</v>
      </c>
      <c r="I79" t="s">
        <v>37</v>
      </c>
      <c r="J79">
        <v>12</v>
      </c>
      <c r="K79">
        <v>452.98</v>
      </c>
      <c r="L79" s="3">
        <v>0.1</v>
      </c>
      <c r="M79">
        <f t="shared" si="10"/>
        <v>5435.76</v>
      </c>
      <c r="N79">
        <f t="shared" si="11"/>
        <v>543.57600000000002</v>
      </c>
      <c r="O79">
        <f t="shared" si="12"/>
        <v>4892.1840000000002</v>
      </c>
      <c r="P79">
        <f>M79*0.55</f>
        <v>2989.6680000000006</v>
      </c>
      <c r="Q79">
        <f t="shared" si="13"/>
        <v>1902.5159999999996</v>
      </c>
      <c r="R79" s="3">
        <f t="shared" si="14"/>
        <v>0.38888888888888878</v>
      </c>
      <c r="S79">
        <v>5</v>
      </c>
      <c r="T79" t="s">
        <v>28</v>
      </c>
    </row>
    <row r="80" spans="1:20" x14ac:dyDescent="0.35">
      <c r="A80" t="s">
        <v>136</v>
      </c>
      <c r="B80" s="2">
        <v>46096</v>
      </c>
      <c r="C80" t="s">
        <v>59</v>
      </c>
      <c r="D80" t="s">
        <v>22</v>
      </c>
      <c r="E80" t="s">
        <v>79</v>
      </c>
      <c r="F80" t="s">
        <v>34</v>
      </c>
      <c r="G80" t="s">
        <v>47</v>
      </c>
      <c r="H80" t="s">
        <v>63</v>
      </c>
      <c r="I80" t="s">
        <v>64</v>
      </c>
      <c r="J80">
        <v>19</v>
      </c>
      <c r="K80">
        <v>96.91</v>
      </c>
      <c r="L80" s="3">
        <v>0.08</v>
      </c>
      <c r="M80">
        <f t="shared" si="10"/>
        <v>1841.29</v>
      </c>
      <c r="N80">
        <f t="shared" si="11"/>
        <v>147.3032</v>
      </c>
      <c r="O80">
        <f t="shared" si="12"/>
        <v>1693.9867999999999</v>
      </c>
      <c r="P80">
        <f>M80*0.48</f>
        <v>883.81919999999991</v>
      </c>
      <c r="Q80">
        <f t="shared" si="13"/>
        <v>810.16759999999999</v>
      </c>
      <c r="R80" s="3">
        <f t="shared" si="14"/>
        <v>0.47826086956521741</v>
      </c>
      <c r="S80">
        <v>4</v>
      </c>
      <c r="T80" t="s">
        <v>38</v>
      </c>
    </row>
    <row r="81" spans="1:20" x14ac:dyDescent="0.35">
      <c r="A81" t="s">
        <v>137</v>
      </c>
      <c r="B81" s="2">
        <v>46176</v>
      </c>
      <c r="C81" t="s">
        <v>21</v>
      </c>
      <c r="D81" t="s">
        <v>33</v>
      </c>
      <c r="E81" t="s">
        <v>52</v>
      </c>
      <c r="F81" t="s">
        <v>24</v>
      </c>
      <c r="G81" t="s">
        <v>47</v>
      </c>
      <c r="H81" t="s">
        <v>26</v>
      </c>
      <c r="I81" t="s">
        <v>27</v>
      </c>
      <c r="J81">
        <v>16</v>
      </c>
      <c r="K81">
        <v>645.17999999999995</v>
      </c>
      <c r="L81" s="3">
        <v>0.1</v>
      </c>
      <c r="M81">
        <f t="shared" si="10"/>
        <v>10322.879999999999</v>
      </c>
      <c r="N81">
        <f t="shared" si="11"/>
        <v>1032.288</v>
      </c>
      <c r="O81">
        <f t="shared" si="12"/>
        <v>9290.5919999999987</v>
      </c>
      <c r="P81">
        <f>M81*0.58</f>
        <v>5987.2703999999994</v>
      </c>
      <c r="Q81">
        <f t="shared" si="13"/>
        <v>3303.3215999999993</v>
      </c>
      <c r="R81" s="3">
        <f t="shared" si="14"/>
        <v>0.35555555555555551</v>
      </c>
      <c r="S81">
        <v>5</v>
      </c>
      <c r="T81" t="s">
        <v>38</v>
      </c>
    </row>
    <row r="82" spans="1:20" x14ac:dyDescent="0.35">
      <c r="A82" t="s">
        <v>138</v>
      </c>
      <c r="B82" s="2">
        <v>46195</v>
      </c>
      <c r="C82" t="s">
        <v>21</v>
      </c>
      <c r="D82" t="s">
        <v>62</v>
      </c>
      <c r="E82" t="s">
        <v>57</v>
      </c>
      <c r="F82" t="s">
        <v>34</v>
      </c>
      <c r="G82" t="s">
        <v>25</v>
      </c>
      <c r="H82" t="s">
        <v>42</v>
      </c>
      <c r="I82" t="s">
        <v>43</v>
      </c>
      <c r="J82">
        <v>43</v>
      </c>
      <c r="K82">
        <v>161.35</v>
      </c>
      <c r="L82" s="3">
        <v>0.05</v>
      </c>
      <c r="M82">
        <f t="shared" si="10"/>
        <v>6938.05</v>
      </c>
      <c r="N82">
        <f t="shared" si="11"/>
        <v>346.90250000000003</v>
      </c>
      <c r="O82">
        <f t="shared" si="12"/>
        <v>6591.1475</v>
      </c>
      <c r="P82">
        <f>M82*0.5</f>
        <v>3469.0250000000001</v>
      </c>
      <c r="Q82">
        <f t="shared" si="13"/>
        <v>3122.1224999999999</v>
      </c>
      <c r="R82" s="3">
        <f t="shared" si="14"/>
        <v>0.47368421052631576</v>
      </c>
      <c r="S82">
        <v>4</v>
      </c>
      <c r="T82" t="s">
        <v>28</v>
      </c>
    </row>
    <row r="83" spans="1:20" x14ac:dyDescent="0.35">
      <c r="A83" t="s">
        <v>139</v>
      </c>
      <c r="B83" s="2">
        <v>46134</v>
      </c>
      <c r="C83" t="s">
        <v>30</v>
      </c>
      <c r="D83" t="s">
        <v>33</v>
      </c>
      <c r="E83" t="s">
        <v>31</v>
      </c>
      <c r="F83" t="s">
        <v>24</v>
      </c>
      <c r="G83" t="s">
        <v>41</v>
      </c>
      <c r="H83" t="s">
        <v>26</v>
      </c>
      <c r="I83" t="s">
        <v>54</v>
      </c>
      <c r="J83">
        <v>23</v>
      </c>
      <c r="K83">
        <v>305.11</v>
      </c>
      <c r="L83" s="3">
        <v>0</v>
      </c>
      <c r="M83">
        <f t="shared" si="10"/>
        <v>7017.5300000000007</v>
      </c>
      <c r="N83">
        <f t="shared" si="11"/>
        <v>0</v>
      </c>
      <c r="O83">
        <f t="shared" si="12"/>
        <v>7017.5300000000007</v>
      </c>
      <c r="P83">
        <f>M83*0.54</f>
        <v>3789.4662000000008</v>
      </c>
      <c r="Q83">
        <f t="shared" si="13"/>
        <v>3228.0637999999999</v>
      </c>
      <c r="R83" s="3">
        <f t="shared" si="14"/>
        <v>0.45999999999999996</v>
      </c>
      <c r="S83">
        <v>4</v>
      </c>
      <c r="T83" t="s">
        <v>38</v>
      </c>
    </row>
    <row r="84" spans="1:20" x14ac:dyDescent="0.35">
      <c r="A84" t="s">
        <v>140</v>
      </c>
      <c r="B84" s="2">
        <v>46128</v>
      </c>
      <c r="C84" t="s">
        <v>30</v>
      </c>
      <c r="D84" t="s">
        <v>33</v>
      </c>
      <c r="E84" t="s">
        <v>23</v>
      </c>
      <c r="F84" t="s">
        <v>34</v>
      </c>
      <c r="G84" t="s">
        <v>41</v>
      </c>
      <c r="H84" t="s">
        <v>26</v>
      </c>
      <c r="I84" t="s">
        <v>54</v>
      </c>
      <c r="J84">
        <v>37</v>
      </c>
      <c r="K84">
        <v>287.48</v>
      </c>
      <c r="L84" s="3">
        <v>0</v>
      </c>
      <c r="M84">
        <f t="shared" si="10"/>
        <v>10636.76</v>
      </c>
      <c r="N84">
        <f t="shared" si="11"/>
        <v>0</v>
      </c>
      <c r="O84">
        <f t="shared" si="12"/>
        <v>10636.76</v>
      </c>
      <c r="P84">
        <f>M84*0.54</f>
        <v>5743.8504000000003</v>
      </c>
      <c r="Q84">
        <f t="shared" si="13"/>
        <v>4892.9096</v>
      </c>
      <c r="R84" s="3">
        <f t="shared" si="14"/>
        <v>0.45999999999999996</v>
      </c>
      <c r="S84">
        <v>4</v>
      </c>
      <c r="T84" t="s">
        <v>38</v>
      </c>
    </row>
    <row r="85" spans="1:20" x14ac:dyDescent="0.35">
      <c r="A85" t="s">
        <v>141</v>
      </c>
      <c r="B85" s="2">
        <v>46105</v>
      </c>
      <c r="C85" t="s">
        <v>59</v>
      </c>
      <c r="D85" t="s">
        <v>33</v>
      </c>
      <c r="E85" t="s">
        <v>57</v>
      </c>
      <c r="F85" t="s">
        <v>34</v>
      </c>
      <c r="G85" t="s">
        <v>41</v>
      </c>
      <c r="H85" t="s">
        <v>26</v>
      </c>
      <c r="I85" t="s">
        <v>27</v>
      </c>
      <c r="J85">
        <v>14</v>
      </c>
      <c r="K85">
        <v>593.74</v>
      </c>
      <c r="L85" s="3">
        <v>0.1</v>
      </c>
      <c r="M85">
        <f t="shared" si="10"/>
        <v>8312.36</v>
      </c>
      <c r="N85">
        <f t="shared" si="11"/>
        <v>831.2360000000001</v>
      </c>
      <c r="O85">
        <f t="shared" si="12"/>
        <v>7481.1240000000007</v>
      </c>
      <c r="P85">
        <f>M85*0.58</f>
        <v>4821.1688000000004</v>
      </c>
      <c r="Q85">
        <f t="shared" si="13"/>
        <v>2659.9552000000003</v>
      </c>
      <c r="R85" s="3">
        <f t="shared" si="14"/>
        <v>0.35555555555555557</v>
      </c>
      <c r="S85">
        <v>4</v>
      </c>
      <c r="T85" t="s">
        <v>44</v>
      </c>
    </row>
    <row r="86" spans="1:20" x14ac:dyDescent="0.35">
      <c r="A86" t="s">
        <v>142</v>
      </c>
      <c r="B86" s="2">
        <v>46036</v>
      </c>
      <c r="C86" t="s">
        <v>67</v>
      </c>
      <c r="D86" t="s">
        <v>56</v>
      </c>
      <c r="E86" t="s">
        <v>86</v>
      </c>
      <c r="F86" t="s">
        <v>34</v>
      </c>
      <c r="G86" t="s">
        <v>47</v>
      </c>
      <c r="H86" t="s">
        <v>36</v>
      </c>
      <c r="I86" t="s">
        <v>37</v>
      </c>
      <c r="J86">
        <v>33</v>
      </c>
      <c r="K86">
        <v>396.6</v>
      </c>
      <c r="L86" s="3">
        <v>0.12</v>
      </c>
      <c r="M86">
        <f t="shared" si="10"/>
        <v>13087.800000000001</v>
      </c>
      <c r="N86">
        <f t="shared" si="11"/>
        <v>1570.5360000000001</v>
      </c>
      <c r="O86">
        <f t="shared" si="12"/>
        <v>11517.264000000001</v>
      </c>
      <c r="P86">
        <f>M86*0.55</f>
        <v>7198.2900000000009</v>
      </c>
      <c r="Q86">
        <f t="shared" si="13"/>
        <v>4318.9740000000002</v>
      </c>
      <c r="R86" s="3">
        <f t="shared" si="14"/>
        <v>0.375</v>
      </c>
      <c r="S86">
        <v>5</v>
      </c>
      <c r="T86" t="s">
        <v>38</v>
      </c>
    </row>
    <row r="87" spans="1:20" x14ac:dyDescent="0.35">
      <c r="A87" t="s">
        <v>143</v>
      </c>
      <c r="B87" s="2">
        <v>46063</v>
      </c>
      <c r="C87" t="s">
        <v>40</v>
      </c>
      <c r="D87" t="s">
        <v>62</v>
      </c>
      <c r="E87" t="s">
        <v>57</v>
      </c>
      <c r="F87" t="s">
        <v>24</v>
      </c>
      <c r="G87" t="s">
        <v>41</v>
      </c>
      <c r="H87" t="s">
        <v>42</v>
      </c>
      <c r="I87" t="s">
        <v>43</v>
      </c>
      <c r="J87">
        <v>9</v>
      </c>
      <c r="K87">
        <v>161.97</v>
      </c>
      <c r="L87" s="3">
        <v>0</v>
      </c>
      <c r="M87">
        <f t="shared" si="10"/>
        <v>1457.73</v>
      </c>
      <c r="N87">
        <f t="shared" si="11"/>
        <v>0</v>
      </c>
      <c r="O87">
        <f t="shared" si="12"/>
        <v>1457.73</v>
      </c>
      <c r="P87">
        <f>M87*0.5</f>
        <v>728.86500000000001</v>
      </c>
      <c r="Q87">
        <f t="shared" si="13"/>
        <v>728.86500000000001</v>
      </c>
      <c r="R87" s="3">
        <f t="shared" si="14"/>
        <v>0.5</v>
      </c>
      <c r="S87">
        <v>5</v>
      </c>
      <c r="T87" t="s">
        <v>38</v>
      </c>
    </row>
    <row r="88" spans="1:20" x14ac:dyDescent="0.35">
      <c r="A88" t="s">
        <v>144</v>
      </c>
      <c r="B88" s="2">
        <v>46150</v>
      </c>
      <c r="C88" t="s">
        <v>46</v>
      </c>
      <c r="D88" t="s">
        <v>56</v>
      </c>
      <c r="E88" t="s">
        <v>23</v>
      </c>
      <c r="F88" t="s">
        <v>34</v>
      </c>
      <c r="G88" t="s">
        <v>41</v>
      </c>
      <c r="H88" t="s">
        <v>26</v>
      </c>
      <c r="I88" t="s">
        <v>54</v>
      </c>
      <c r="J88">
        <v>32</v>
      </c>
      <c r="K88">
        <v>300.31</v>
      </c>
      <c r="L88" s="3">
        <v>0.1</v>
      </c>
      <c r="M88">
        <f t="shared" si="10"/>
        <v>9609.92</v>
      </c>
      <c r="N88">
        <f t="shared" si="11"/>
        <v>960.99200000000008</v>
      </c>
      <c r="O88">
        <f t="shared" si="12"/>
        <v>8648.9279999999999</v>
      </c>
      <c r="P88">
        <f>M88*0.54</f>
        <v>5189.3568000000005</v>
      </c>
      <c r="Q88">
        <f t="shared" si="13"/>
        <v>3459.5711999999994</v>
      </c>
      <c r="R88" s="3">
        <f t="shared" si="14"/>
        <v>0.39999999999999991</v>
      </c>
      <c r="S88">
        <v>4</v>
      </c>
      <c r="T88" t="s">
        <v>44</v>
      </c>
    </row>
    <row r="89" spans="1:20" x14ac:dyDescent="0.35">
      <c r="A89" t="s">
        <v>145</v>
      </c>
      <c r="B89" s="2">
        <v>46071</v>
      </c>
      <c r="C89" t="s">
        <v>40</v>
      </c>
      <c r="D89" t="s">
        <v>62</v>
      </c>
      <c r="E89" t="s">
        <v>86</v>
      </c>
      <c r="F89" t="s">
        <v>24</v>
      </c>
      <c r="G89" t="s">
        <v>35</v>
      </c>
      <c r="H89" t="s">
        <v>36</v>
      </c>
      <c r="I89" t="s">
        <v>70</v>
      </c>
      <c r="J89">
        <v>28</v>
      </c>
      <c r="K89">
        <v>740.98</v>
      </c>
      <c r="L89" s="3">
        <v>0.1</v>
      </c>
      <c r="M89">
        <f t="shared" si="10"/>
        <v>20747.440000000002</v>
      </c>
      <c r="N89">
        <f t="shared" si="11"/>
        <v>2074.7440000000001</v>
      </c>
      <c r="O89">
        <f t="shared" si="12"/>
        <v>18672.696000000004</v>
      </c>
      <c r="P89">
        <f>M89*0.6</f>
        <v>12448.464000000002</v>
      </c>
      <c r="Q89">
        <f t="shared" si="13"/>
        <v>6224.2320000000018</v>
      </c>
      <c r="R89" s="3">
        <f t="shared" si="14"/>
        <v>0.33333333333333337</v>
      </c>
      <c r="S89">
        <v>4</v>
      </c>
      <c r="T89" t="s">
        <v>38</v>
      </c>
    </row>
    <row r="90" spans="1:20" x14ac:dyDescent="0.35">
      <c r="A90" t="s">
        <v>146</v>
      </c>
      <c r="B90" s="2">
        <v>46095</v>
      </c>
      <c r="C90" t="s">
        <v>59</v>
      </c>
      <c r="D90" t="s">
        <v>56</v>
      </c>
      <c r="E90" t="s">
        <v>79</v>
      </c>
      <c r="F90" t="s">
        <v>34</v>
      </c>
      <c r="G90" t="s">
        <v>25</v>
      </c>
      <c r="H90" t="s">
        <v>26</v>
      </c>
      <c r="I90" t="s">
        <v>54</v>
      </c>
      <c r="J90">
        <v>32</v>
      </c>
      <c r="K90">
        <v>306.60000000000002</v>
      </c>
      <c r="L90" s="3">
        <v>0.1</v>
      </c>
      <c r="M90">
        <f t="shared" si="10"/>
        <v>9811.2000000000007</v>
      </c>
      <c r="N90">
        <f t="shared" si="11"/>
        <v>981.12000000000012</v>
      </c>
      <c r="O90">
        <f t="shared" si="12"/>
        <v>8830.08</v>
      </c>
      <c r="P90">
        <f>M90*0.54</f>
        <v>5298.0480000000007</v>
      </c>
      <c r="Q90">
        <f t="shared" si="13"/>
        <v>3532.0319999999992</v>
      </c>
      <c r="R90" s="3">
        <f t="shared" si="14"/>
        <v>0.39999999999999991</v>
      </c>
      <c r="S90">
        <v>5</v>
      </c>
      <c r="T90" t="s">
        <v>44</v>
      </c>
    </row>
    <row r="91" spans="1:20" x14ac:dyDescent="0.35">
      <c r="A91" t="s">
        <v>147</v>
      </c>
      <c r="B91" s="2">
        <v>46139</v>
      </c>
      <c r="C91" t="s">
        <v>30</v>
      </c>
      <c r="D91" t="s">
        <v>51</v>
      </c>
      <c r="E91" t="s">
        <v>49</v>
      </c>
      <c r="F91" t="s">
        <v>24</v>
      </c>
      <c r="G91" t="s">
        <v>41</v>
      </c>
      <c r="H91" t="s">
        <v>42</v>
      </c>
      <c r="I91" t="s">
        <v>43</v>
      </c>
      <c r="J91">
        <v>28</v>
      </c>
      <c r="K91">
        <v>148.6</v>
      </c>
      <c r="L91" s="3">
        <v>0.12</v>
      </c>
      <c r="M91">
        <f t="shared" si="10"/>
        <v>4160.8</v>
      </c>
      <c r="N91">
        <f t="shared" si="11"/>
        <v>499.29599999999999</v>
      </c>
      <c r="O91">
        <f t="shared" si="12"/>
        <v>3661.5040000000004</v>
      </c>
      <c r="P91">
        <f>M91*0.5</f>
        <v>2080.4</v>
      </c>
      <c r="Q91">
        <f t="shared" si="13"/>
        <v>1581.1040000000003</v>
      </c>
      <c r="R91" s="3">
        <f t="shared" si="14"/>
        <v>0.43181818181818182</v>
      </c>
      <c r="S91">
        <v>4</v>
      </c>
      <c r="T91" t="s">
        <v>44</v>
      </c>
    </row>
    <row r="92" spans="1:20" x14ac:dyDescent="0.35">
      <c r="A92" t="s">
        <v>148</v>
      </c>
      <c r="B92" s="2">
        <v>46121</v>
      </c>
      <c r="C92" t="s">
        <v>30</v>
      </c>
      <c r="D92" t="s">
        <v>51</v>
      </c>
      <c r="E92" t="s">
        <v>79</v>
      </c>
      <c r="F92" t="s">
        <v>24</v>
      </c>
      <c r="G92" t="s">
        <v>35</v>
      </c>
      <c r="H92" t="s">
        <v>26</v>
      </c>
      <c r="I92" t="s">
        <v>54</v>
      </c>
      <c r="J92">
        <v>39</v>
      </c>
      <c r="K92">
        <v>305.77999999999997</v>
      </c>
      <c r="L92" s="3">
        <v>0</v>
      </c>
      <c r="M92">
        <f t="shared" si="10"/>
        <v>11925.419999999998</v>
      </c>
      <c r="N92">
        <f t="shared" si="11"/>
        <v>0</v>
      </c>
      <c r="O92">
        <f t="shared" si="12"/>
        <v>11925.419999999998</v>
      </c>
      <c r="P92">
        <f>M92*0.54</f>
        <v>6439.7267999999995</v>
      </c>
      <c r="Q92">
        <f t="shared" si="13"/>
        <v>5485.6931999999988</v>
      </c>
      <c r="R92" s="3">
        <f t="shared" si="14"/>
        <v>0.45999999999999996</v>
      </c>
      <c r="S92">
        <v>4</v>
      </c>
      <c r="T92" t="s">
        <v>38</v>
      </c>
    </row>
    <row r="93" spans="1:20" x14ac:dyDescent="0.35">
      <c r="A93" t="s">
        <v>149</v>
      </c>
      <c r="B93" s="2">
        <v>46157</v>
      </c>
      <c r="C93" t="s">
        <v>46</v>
      </c>
      <c r="D93" t="s">
        <v>22</v>
      </c>
      <c r="E93" t="s">
        <v>86</v>
      </c>
      <c r="F93" t="s">
        <v>34</v>
      </c>
      <c r="G93" t="s">
        <v>41</v>
      </c>
      <c r="H93" t="s">
        <v>63</v>
      </c>
      <c r="I93" t="s">
        <v>64</v>
      </c>
      <c r="J93">
        <v>11</v>
      </c>
      <c r="K93">
        <v>88.82</v>
      </c>
      <c r="L93" s="3">
        <v>0.05</v>
      </c>
      <c r="M93">
        <f t="shared" si="10"/>
        <v>977.02</v>
      </c>
      <c r="N93">
        <f t="shared" si="11"/>
        <v>48.850999999999999</v>
      </c>
      <c r="O93">
        <f t="shared" si="12"/>
        <v>928.16899999999998</v>
      </c>
      <c r="P93">
        <f>M93*0.48</f>
        <v>468.96959999999996</v>
      </c>
      <c r="Q93">
        <f t="shared" si="13"/>
        <v>459.19940000000003</v>
      </c>
      <c r="R93" s="3">
        <f t="shared" si="14"/>
        <v>0.4947368421052632</v>
      </c>
      <c r="S93">
        <v>4</v>
      </c>
      <c r="T93" t="s">
        <v>28</v>
      </c>
    </row>
    <row r="94" spans="1:20" x14ac:dyDescent="0.35">
      <c r="A94" t="s">
        <v>150</v>
      </c>
      <c r="B94" s="2">
        <v>46200</v>
      </c>
      <c r="C94" t="s">
        <v>21</v>
      </c>
      <c r="D94" t="s">
        <v>22</v>
      </c>
      <c r="E94" t="s">
        <v>52</v>
      </c>
      <c r="F94" t="s">
        <v>34</v>
      </c>
      <c r="G94" t="s">
        <v>41</v>
      </c>
      <c r="H94" t="s">
        <v>63</v>
      </c>
      <c r="I94" t="s">
        <v>64</v>
      </c>
      <c r="J94">
        <v>42</v>
      </c>
      <c r="K94">
        <v>101.06</v>
      </c>
      <c r="L94" s="3">
        <v>0.08</v>
      </c>
      <c r="M94">
        <f t="shared" si="10"/>
        <v>4244.5200000000004</v>
      </c>
      <c r="N94">
        <f t="shared" si="11"/>
        <v>339.56160000000006</v>
      </c>
      <c r="O94">
        <f t="shared" si="12"/>
        <v>3904.9584000000004</v>
      </c>
      <c r="P94">
        <f>M94*0.48</f>
        <v>2037.3696000000002</v>
      </c>
      <c r="Q94">
        <f t="shared" si="13"/>
        <v>1867.5888000000002</v>
      </c>
      <c r="R94" s="3">
        <f t="shared" si="14"/>
        <v>0.47826086956521741</v>
      </c>
      <c r="S94">
        <v>5</v>
      </c>
      <c r="T94" t="s">
        <v>38</v>
      </c>
    </row>
    <row r="95" spans="1:20" x14ac:dyDescent="0.35">
      <c r="A95" t="s">
        <v>151</v>
      </c>
      <c r="B95" s="2">
        <v>46181</v>
      </c>
      <c r="C95" t="s">
        <v>21</v>
      </c>
      <c r="D95" t="s">
        <v>51</v>
      </c>
      <c r="E95" t="s">
        <v>23</v>
      </c>
      <c r="F95" t="s">
        <v>34</v>
      </c>
      <c r="G95" t="s">
        <v>25</v>
      </c>
      <c r="H95" t="s">
        <v>26</v>
      </c>
      <c r="I95" t="s">
        <v>27</v>
      </c>
      <c r="J95">
        <v>29</v>
      </c>
      <c r="K95">
        <v>647.09</v>
      </c>
      <c r="L95" s="3">
        <v>0.12</v>
      </c>
      <c r="M95">
        <f t="shared" si="10"/>
        <v>18765.61</v>
      </c>
      <c r="N95">
        <f t="shared" si="11"/>
        <v>2251.8732</v>
      </c>
      <c r="O95">
        <f t="shared" si="12"/>
        <v>16513.736799999999</v>
      </c>
      <c r="P95">
        <f>M95*0.58</f>
        <v>10884.0538</v>
      </c>
      <c r="Q95">
        <f t="shared" si="13"/>
        <v>5629.6829999999991</v>
      </c>
      <c r="R95" s="3">
        <f t="shared" si="14"/>
        <v>0.34090909090909088</v>
      </c>
      <c r="S95">
        <v>5</v>
      </c>
      <c r="T95" t="s">
        <v>38</v>
      </c>
    </row>
    <row r="96" spans="1:20" x14ac:dyDescent="0.35">
      <c r="A96" t="s">
        <v>152</v>
      </c>
      <c r="B96" s="2">
        <v>46136</v>
      </c>
      <c r="C96" t="s">
        <v>30</v>
      </c>
      <c r="D96" t="s">
        <v>56</v>
      </c>
      <c r="E96" t="s">
        <v>57</v>
      </c>
      <c r="F96" t="s">
        <v>24</v>
      </c>
      <c r="G96" t="s">
        <v>35</v>
      </c>
      <c r="H96" t="s">
        <v>36</v>
      </c>
      <c r="I96" t="s">
        <v>37</v>
      </c>
      <c r="J96">
        <v>5</v>
      </c>
      <c r="K96">
        <v>411.04</v>
      </c>
      <c r="L96" s="3">
        <v>0.05</v>
      </c>
      <c r="M96">
        <f t="shared" si="10"/>
        <v>2055.2000000000003</v>
      </c>
      <c r="N96">
        <f t="shared" si="11"/>
        <v>102.76000000000002</v>
      </c>
      <c r="O96">
        <f t="shared" si="12"/>
        <v>1952.4400000000003</v>
      </c>
      <c r="P96">
        <f>M96*0.55</f>
        <v>1130.3600000000004</v>
      </c>
      <c r="Q96">
        <f t="shared" si="13"/>
        <v>822.07999999999993</v>
      </c>
      <c r="R96" s="3">
        <f t="shared" si="14"/>
        <v>0.42105263157894729</v>
      </c>
      <c r="S96">
        <v>4</v>
      </c>
      <c r="T96" t="s">
        <v>38</v>
      </c>
    </row>
    <row r="97" spans="1:20" x14ac:dyDescent="0.35">
      <c r="A97" t="s">
        <v>153</v>
      </c>
      <c r="B97" s="2">
        <v>46085</v>
      </c>
      <c r="C97" t="s">
        <v>59</v>
      </c>
      <c r="D97" t="s">
        <v>33</v>
      </c>
      <c r="E97" t="s">
        <v>86</v>
      </c>
      <c r="F97" t="s">
        <v>24</v>
      </c>
      <c r="G97" t="s">
        <v>25</v>
      </c>
      <c r="H97" t="s">
        <v>36</v>
      </c>
      <c r="I97" t="s">
        <v>70</v>
      </c>
      <c r="J97">
        <v>41</v>
      </c>
      <c r="K97">
        <v>820.63</v>
      </c>
      <c r="L97" s="3">
        <v>0.1</v>
      </c>
      <c r="M97">
        <f t="shared" si="10"/>
        <v>33645.83</v>
      </c>
      <c r="N97">
        <f t="shared" si="11"/>
        <v>3364.5830000000005</v>
      </c>
      <c r="O97">
        <f t="shared" si="12"/>
        <v>30281.247000000003</v>
      </c>
      <c r="P97">
        <f>M97*0.6</f>
        <v>20187.498</v>
      </c>
      <c r="Q97">
        <f t="shared" si="13"/>
        <v>10093.749000000003</v>
      </c>
      <c r="R97" s="3">
        <f t="shared" si="14"/>
        <v>0.33333333333333343</v>
      </c>
      <c r="S97">
        <v>5</v>
      </c>
      <c r="T97" t="s">
        <v>38</v>
      </c>
    </row>
    <row r="98" spans="1:20" x14ac:dyDescent="0.35">
      <c r="A98" t="s">
        <v>154</v>
      </c>
      <c r="B98" s="2">
        <v>46150</v>
      </c>
      <c r="C98" t="s">
        <v>46</v>
      </c>
      <c r="D98" t="s">
        <v>51</v>
      </c>
      <c r="E98" t="s">
        <v>49</v>
      </c>
      <c r="F98" t="s">
        <v>34</v>
      </c>
      <c r="G98" t="s">
        <v>41</v>
      </c>
      <c r="H98" t="s">
        <v>36</v>
      </c>
      <c r="I98" t="s">
        <v>70</v>
      </c>
      <c r="J98">
        <v>31</v>
      </c>
      <c r="K98">
        <v>728.3</v>
      </c>
      <c r="L98" s="3">
        <v>0</v>
      </c>
      <c r="M98">
        <f t="shared" ref="M98:M129" si="15">J98*K98</f>
        <v>22577.3</v>
      </c>
      <c r="N98">
        <f t="shared" ref="N98:N129" si="16">M98*L98</f>
        <v>0</v>
      </c>
      <c r="O98">
        <f t="shared" ref="O98:O129" si="17">M98-N98</f>
        <v>22577.3</v>
      </c>
      <c r="P98">
        <f>M98*0.6</f>
        <v>13546.38</v>
      </c>
      <c r="Q98">
        <f t="shared" ref="Q98:Q129" si="18">O98-P98</f>
        <v>9030.92</v>
      </c>
      <c r="R98" s="3">
        <f t="shared" ref="R98:R129" si="19">Q98/O98</f>
        <v>0.4</v>
      </c>
      <c r="S98">
        <v>4</v>
      </c>
      <c r="T98" t="s">
        <v>38</v>
      </c>
    </row>
    <row r="99" spans="1:20" x14ac:dyDescent="0.35">
      <c r="A99" t="s">
        <v>155</v>
      </c>
      <c r="B99" s="2">
        <v>46196</v>
      </c>
      <c r="C99" t="s">
        <v>21</v>
      </c>
      <c r="D99" t="s">
        <v>51</v>
      </c>
      <c r="E99" t="s">
        <v>31</v>
      </c>
      <c r="F99" t="s">
        <v>34</v>
      </c>
      <c r="G99" t="s">
        <v>41</v>
      </c>
      <c r="H99" t="s">
        <v>36</v>
      </c>
      <c r="I99" t="s">
        <v>70</v>
      </c>
      <c r="J99">
        <v>39</v>
      </c>
      <c r="K99">
        <v>734.87</v>
      </c>
      <c r="L99" s="3">
        <v>0.08</v>
      </c>
      <c r="M99">
        <f t="shared" si="15"/>
        <v>28659.93</v>
      </c>
      <c r="N99">
        <f t="shared" si="16"/>
        <v>2292.7944000000002</v>
      </c>
      <c r="O99">
        <f t="shared" si="17"/>
        <v>26367.135600000001</v>
      </c>
      <c r="P99">
        <f>M99*0.6</f>
        <v>17195.957999999999</v>
      </c>
      <c r="Q99">
        <f t="shared" si="18"/>
        <v>9171.1776000000027</v>
      </c>
      <c r="R99" s="3">
        <f t="shared" si="19"/>
        <v>0.34782608695652184</v>
      </c>
      <c r="S99">
        <v>5</v>
      </c>
      <c r="T99" t="s">
        <v>38</v>
      </c>
    </row>
    <row r="100" spans="1:20" x14ac:dyDescent="0.35">
      <c r="A100" t="s">
        <v>156</v>
      </c>
      <c r="B100" s="2">
        <v>46139</v>
      </c>
      <c r="C100" t="s">
        <v>30</v>
      </c>
      <c r="D100" t="s">
        <v>51</v>
      </c>
      <c r="E100" t="s">
        <v>60</v>
      </c>
      <c r="F100" t="s">
        <v>24</v>
      </c>
      <c r="G100" t="s">
        <v>41</v>
      </c>
      <c r="H100" t="s">
        <v>42</v>
      </c>
      <c r="I100" t="s">
        <v>43</v>
      </c>
      <c r="J100">
        <v>26</v>
      </c>
      <c r="K100">
        <v>165.5</v>
      </c>
      <c r="L100" s="3">
        <v>0.1</v>
      </c>
      <c r="M100">
        <f t="shared" si="15"/>
        <v>4303</v>
      </c>
      <c r="N100">
        <f t="shared" si="16"/>
        <v>430.3</v>
      </c>
      <c r="O100">
        <f t="shared" si="17"/>
        <v>3872.7</v>
      </c>
      <c r="P100">
        <f>M100*0.5</f>
        <v>2151.5</v>
      </c>
      <c r="Q100">
        <f t="shared" si="18"/>
        <v>1721.1999999999998</v>
      </c>
      <c r="R100" s="3">
        <f t="shared" si="19"/>
        <v>0.44444444444444442</v>
      </c>
      <c r="S100">
        <v>4</v>
      </c>
      <c r="T100" t="s">
        <v>38</v>
      </c>
    </row>
    <row r="101" spans="1:20" x14ac:dyDescent="0.35">
      <c r="A101" t="s">
        <v>157</v>
      </c>
      <c r="B101" s="2">
        <v>46028</v>
      </c>
      <c r="C101" t="s">
        <v>67</v>
      </c>
      <c r="D101" t="s">
        <v>33</v>
      </c>
      <c r="E101" t="s">
        <v>23</v>
      </c>
      <c r="F101" t="s">
        <v>34</v>
      </c>
      <c r="G101" t="s">
        <v>35</v>
      </c>
      <c r="H101" t="s">
        <v>26</v>
      </c>
      <c r="I101" t="s">
        <v>54</v>
      </c>
      <c r="J101">
        <v>45</v>
      </c>
      <c r="K101">
        <v>333.46</v>
      </c>
      <c r="L101" s="3">
        <v>0</v>
      </c>
      <c r="M101">
        <f t="shared" si="15"/>
        <v>15005.699999999999</v>
      </c>
      <c r="N101">
        <f t="shared" si="16"/>
        <v>0</v>
      </c>
      <c r="O101">
        <f t="shared" si="17"/>
        <v>15005.699999999999</v>
      </c>
      <c r="P101">
        <f>M101*0.54</f>
        <v>8103.0779999999995</v>
      </c>
      <c r="Q101">
        <f t="shared" si="18"/>
        <v>6902.6219999999994</v>
      </c>
      <c r="R101" s="3">
        <f t="shared" si="19"/>
        <v>0.46</v>
      </c>
      <c r="S101">
        <v>5</v>
      </c>
      <c r="T101" t="s">
        <v>44</v>
      </c>
    </row>
    <row r="102" spans="1:20" x14ac:dyDescent="0.35">
      <c r="A102" t="s">
        <v>158</v>
      </c>
      <c r="B102" s="2">
        <v>46096</v>
      </c>
      <c r="C102" t="s">
        <v>59</v>
      </c>
      <c r="D102" t="s">
        <v>62</v>
      </c>
      <c r="E102" t="s">
        <v>52</v>
      </c>
      <c r="F102" t="s">
        <v>34</v>
      </c>
      <c r="G102" t="s">
        <v>25</v>
      </c>
      <c r="H102" t="s">
        <v>36</v>
      </c>
      <c r="I102" t="s">
        <v>37</v>
      </c>
      <c r="J102">
        <v>41</v>
      </c>
      <c r="K102">
        <v>407.45</v>
      </c>
      <c r="L102" s="3">
        <v>0.12</v>
      </c>
      <c r="M102">
        <f t="shared" si="15"/>
        <v>16705.45</v>
      </c>
      <c r="N102">
        <f t="shared" si="16"/>
        <v>2004.654</v>
      </c>
      <c r="O102">
        <f t="shared" si="17"/>
        <v>14700.796</v>
      </c>
      <c r="P102">
        <f>M102*0.55</f>
        <v>9187.9975000000013</v>
      </c>
      <c r="Q102">
        <f t="shared" si="18"/>
        <v>5512.798499999999</v>
      </c>
      <c r="R102" s="3">
        <f t="shared" si="19"/>
        <v>0.37499999999999994</v>
      </c>
      <c r="S102">
        <v>5</v>
      </c>
      <c r="T102" t="s">
        <v>38</v>
      </c>
    </row>
    <row r="103" spans="1:20" x14ac:dyDescent="0.35">
      <c r="A103" t="s">
        <v>159</v>
      </c>
      <c r="B103" s="2">
        <v>46183</v>
      </c>
      <c r="C103" t="s">
        <v>21</v>
      </c>
      <c r="D103" t="s">
        <v>22</v>
      </c>
      <c r="E103" t="s">
        <v>23</v>
      </c>
      <c r="F103" t="s">
        <v>24</v>
      </c>
      <c r="G103" t="s">
        <v>41</v>
      </c>
      <c r="H103" t="s">
        <v>26</v>
      </c>
      <c r="I103" t="s">
        <v>27</v>
      </c>
      <c r="J103">
        <v>25</v>
      </c>
      <c r="K103">
        <v>618.54999999999995</v>
      </c>
      <c r="L103" s="3">
        <v>0</v>
      </c>
      <c r="M103">
        <f t="shared" si="15"/>
        <v>15463.749999999998</v>
      </c>
      <c r="N103">
        <f t="shared" si="16"/>
        <v>0</v>
      </c>
      <c r="O103">
        <f t="shared" si="17"/>
        <v>15463.749999999998</v>
      </c>
      <c r="P103">
        <f>M103*0.58</f>
        <v>8968.9749999999985</v>
      </c>
      <c r="Q103">
        <f t="shared" si="18"/>
        <v>6494.7749999999996</v>
      </c>
      <c r="R103" s="3">
        <f t="shared" si="19"/>
        <v>0.42000000000000004</v>
      </c>
      <c r="S103">
        <v>4</v>
      </c>
      <c r="T103" t="s">
        <v>38</v>
      </c>
    </row>
    <row r="104" spans="1:20" x14ac:dyDescent="0.35">
      <c r="A104" t="s">
        <v>160</v>
      </c>
      <c r="B104" s="2">
        <v>46129</v>
      </c>
      <c r="C104" t="s">
        <v>30</v>
      </c>
      <c r="D104" t="s">
        <v>51</v>
      </c>
      <c r="E104" t="s">
        <v>86</v>
      </c>
      <c r="F104" t="s">
        <v>34</v>
      </c>
      <c r="G104" t="s">
        <v>47</v>
      </c>
      <c r="H104" t="s">
        <v>36</v>
      </c>
      <c r="I104" t="s">
        <v>37</v>
      </c>
      <c r="J104">
        <v>19</v>
      </c>
      <c r="K104">
        <v>456.16</v>
      </c>
      <c r="L104" s="3">
        <v>0.05</v>
      </c>
      <c r="M104">
        <f t="shared" si="15"/>
        <v>8667.0400000000009</v>
      </c>
      <c r="N104">
        <f t="shared" si="16"/>
        <v>433.35200000000009</v>
      </c>
      <c r="O104">
        <f t="shared" si="17"/>
        <v>8233.6880000000001</v>
      </c>
      <c r="P104">
        <f>M104*0.55</f>
        <v>4766.8720000000012</v>
      </c>
      <c r="Q104">
        <f t="shared" si="18"/>
        <v>3466.8159999999989</v>
      </c>
      <c r="R104" s="3">
        <f t="shared" si="19"/>
        <v>0.42105263157894723</v>
      </c>
      <c r="S104">
        <v>4</v>
      </c>
      <c r="T104" t="s">
        <v>38</v>
      </c>
    </row>
    <row r="105" spans="1:20" x14ac:dyDescent="0.35">
      <c r="A105" t="s">
        <v>161</v>
      </c>
      <c r="B105" s="2">
        <v>46109</v>
      </c>
      <c r="C105" t="s">
        <v>59</v>
      </c>
      <c r="D105" t="s">
        <v>33</v>
      </c>
      <c r="E105" t="s">
        <v>31</v>
      </c>
      <c r="F105" t="s">
        <v>34</v>
      </c>
      <c r="G105" t="s">
        <v>25</v>
      </c>
      <c r="H105" t="s">
        <v>26</v>
      </c>
      <c r="I105" t="s">
        <v>27</v>
      </c>
      <c r="J105">
        <v>16</v>
      </c>
      <c r="K105">
        <v>633.38</v>
      </c>
      <c r="L105" s="3">
        <v>0.12</v>
      </c>
      <c r="M105">
        <f t="shared" si="15"/>
        <v>10134.08</v>
      </c>
      <c r="N105">
        <f t="shared" si="16"/>
        <v>1216.0896</v>
      </c>
      <c r="O105">
        <f t="shared" si="17"/>
        <v>8917.9904000000006</v>
      </c>
      <c r="P105">
        <f>M105*0.58</f>
        <v>5877.7663999999995</v>
      </c>
      <c r="Q105">
        <f t="shared" si="18"/>
        <v>3040.2240000000011</v>
      </c>
      <c r="R105" s="3">
        <f t="shared" si="19"/>
        <v>0.34090909090909099</v>
      </c>
      <c r="S105">
        <v>5</v>
      </c>
      <c r="T105" t="s">
        <v>44</v>
      </c>
    </row>
    <row r="106" spans="1:20" x14ac:dyDescent="0.35">
      <c r="A106" t="s">
        <v>162</v>
      </c>
      <c r="B106" s="2">
        <v>46165</v>
      </c>
      <c r="C106" t="s">
        <v>46</v>
      </c>
      <c r="D106" t="s">
        <v>22</v>
      </c>
      <c r="E106" t="s">
        <v>60</v>
      </c>
      <c r="F106" t="s">
        <v>24</v>
      </c>
      <c r="G106" t="s">
        <v>35</v>
      </c>
      <c r="H106" t="s">
        <v>42</v>
      </c>
      <c r="I106" t="s">
        <v>43</v>
      </c>
      <c r="J106">
        <v>9</v>
      </c>
      <c r="K106">
        <v>161.75</v>
      </c>
      <c r="L106" s="3">
        <v>0.12</v>
      </c>
      <c r="M106">
        <f t="shared" si="15"/>
        <v>1455.75</v>
      </c>
      <c r="N106">
        <f t="shared" si="16"/>
        <v>174.69</v>
      </c>
      <c r="O106">
        <f t="shared" si="17"/>
        <v>1281.06</v>
      </c>
      <c r="P106">
        <f>M106*0.5</f>
        <v>727.875</v>
      </c>
      <c r="Q106">
        <f t="shared" si="18"/>
        <v>553.18499999999995</v>
      </c>
      <c r="R106" s="3">
        <f t="shared" si="19"/>
        <v>0.43181818181818177</v>
      </c>
      <c r="S106">
        <v>5</v>
      </c>
      <c r="T106" t="s">
        <v>38</v>
      </c>
    </row>
    <row r="107" spans="1:20" x14ac:dyDescent="0.35">
      <c r="A107" t="s">
        <v>163</v>
      </c>
      <c r="B107" s="2">
        <v>46172</v>
      </c>
      <c r="C107" t="s">
        <v>46</v>
      </c>
      <c r="D107" t="s">
        <v>56</v>
      </c>
      <c r="E107" t="s">
        <v>31</v>
      </c>
      <c r="F107" t="s">
        <v>34</v>
      </c>
      <c r="G107" t="s">
        <v>25</v>
      </c>
      <c r="H107" t="s">
        <v>63</v>
      </c>
      <c r="I107" t="s">
        <v>64</v>
      </c>
      <c r="J107">
        <v>41</v>
      </c>
      <c r="K107">
        <v>104.2</v>
      </c>
      <c r="L107" s="3">
        <v>0.1</v>
      </c>
      <c r="M107">
        <f t="shared" si="15"/>
        <v>4272.2</v>
      </c>
      <c r="N107">
        <f t="shared" si="16"/>
        <v>427.22</v>
      </c>
      <c r="O107">
        <f t="shared" si="17"/>
        <v>3844.9799999999996</v>
      </c>
      <c r="P107">
        <f>M107*0.48</f>
        <v>2050.6559999999999</v>
      </c>
      <c r="Q107">
        <f t="shared" si="18"/>
        <v>1794.3239999999996</v>
      </c>
      <c r="R107" s="3">
        <f t="shared" si="19"/>
        <v>0.46666666666666662</v>
      </c>
      <c r="S107">
        <v>4</v>
      </c>
      <c r="T107" t="s">
        <v>28</v>
      </c>
    </row>
    <row r="108" spans="1:20" x14ac:dyDescent="0.35">
      <c r="A108" t="s">
        <v>164</v>
      </c>
      <c r="B108" s="2">
        <v>46079</v>
      </c>
      <c r="C108" t="s">
        <v>40</v>
      </c>
      <c r="D108" t="s">
        <v>22</v>
      </c>
      <c r="E108" t="s">
        <v>79</v>
      </c>
      <c r="F108" t="s">
        <v>34</v>
      </c>
      <c r="G108" t="s">
        <v>47</v>
      </c>
      <c r="H108" t="s">
        <v>26</v>
      </c>
      <c r="I108" t="s">
        <v>54</v>
      </c>
      <c r="J108">
        <v>9</v>
      </c>
      <c r="K108">
        <v>293.87</v>
      </c>
      <c r="L108" s="3">
        <v>0</v>
      </c>
      <c r="M108">
        <f t="shared" si="15"/>
        <v>2644.83</v>
      </c>
      <c r="N108">
        <f t="shared" si="16"/>
        <v>0</v>
      </c>
      <c r="O108">
        <f t="shared" si="17"/>
        <v>2644.83</v>
      </c>
      <c r="P108">
        <f>M108*0.54</f>
        <v>1428.2082</v>
      </c>
      <c r="Q108">
        <f t="shared" si="18"/>
        <v>1216.6217999999999</v>
      </c>
      <c r="R108" s="3">
        <f t="shared" si="19"/>
        <v>0.45999999999999996</v>
      </c>
      <c r="S108">
        <v>4</v>
      </c>
      <c r="T108" t="s">
        <v>44</v>
      </c>
    </row>
    <row r="109" spans="1:20" x14ac:dyDescent="0.35">
      <c r="A109" t="s">
        <v>165</v>
      </c>
      <c r="B109" s="2">
        <v>46052</v>
      </c>
      <c r="C109" t="s">
        <v>67</v>
      </c>
      <c r="D109" t="s">
        <v>51</v>
      </c>
      <c r="E109" t="s">
        <v>86</v>
      </c>
      <c r="F109" t="s">
        <v>34</v>
      </c>
      <c r="G109" t="s">
        <v>41</v>
      </c>
      <c r="H109" t="s">
        <v>26</v>
      </c>
      <c r="I109" t="s">
        <v>27</v>
      </c>
      <c r="J109">
        <v>44</v>
      </c>
      <c r="K109">
        <v>643.73</v>
      </c>
      <c r="L109" s="3">
        <v>0.12</v>
      </c>
      <c r="M109">
        <f t="shared" si="15"/>
        <v>28324.120000000003</v>
      </c>
      <c r="N109">
        <f t="shared" si="16"/>
        <v>3398.8944000000001</v>
      </c>
      <c r="O109">
        <f t="shared" si="17"/>
        <v>24925.225600000002</v>
      </c>
      <c r="P109">
        <f>M109*0.58</f>
        <v>16427.989600000001</v>
      </c>
      <c r="Q109">
        <f t="shared" si="18"/>
        <v>8497.2360000000008</v>
      </c>
      <c r="R109" s="3">
        <f t="shared" si="19"/>
        <v>0.34090909090909094</v>
      </c>
      <c r="S109">
        <v>5</v>
      </c>
      <c r="T109" t="s">
        <v>44</v>
      </c>
    </row>
    <row r="110" spans="1:20" x14ac:dyDescent="0.35">
      <c r="A110" t="s">
        <v>166</v>
      </c>
      <c r="B110" s="2">
        <v>46173</v>
      </c>
      <c r="C110" t="s">
        <v>46</v>
      </c>
      <c r="D110" t="s">
        <v>51</v>
      </c>
      <c r="E110" t="s">
        <v>60</v>
      </c>
      <c r="F110" t="s">
        <v>34</v>
      </c>
      <c r="G110" t="s">
        <v>35</v>
      </c>
      <c r="H110" t="s">
        <v>26</v>
      </c>
      <c r="I110" t="s">
        <v>54</v>
      </c>
      <c r="J110">
        <v>41</v>
      </c>
      <c r="K110">
        <v>310.5</v>
      </c>
      <c r="L110" s="3">
        <v>0.05</v>
      </c>
      <c r="M110">
        <f t="shared" si="15"/>
        <v>12730.5</v>
      </c>
      <c r="N110">
        <f t="shared" si="16"/>
        <v>636.52500000000009</v>
      </c>
      <c r="O110">
        <f t="shared" si="17"/>
        <v>12093.975</v>
      </c>
      <c r="P110">
        <f>M110*0.54</f>
        <v>6874.47</v>
      </c>
      <c r="Q110">
        <f t="shared" si="18"/>
        <v>5219.5050000000001</v>
      </c>
      <c r="R110" s="3">
        <f t="shared" si="19"/>
        <v>0.43157894736842106</v>
      </c>
      <c r="S110">
        <v>3</v>
      </c>
      <c r="T110" t="s">
        <v>38</v>
      </c>
    </row>
    <row r="111" spans="1:20" x14ac:dyDescent="0.35">
      <c r="A111" t="s">
        <v>167</v>
      </c>
      <c r="B111" s="2">
        <v>46078</v>
      </c>
      <c r="C111" t="s">
        <v>40</v>
      </c>
      <c r="D111" t="s">
        <v>33</v>
      </c>
      <c r="E111" t="s">
        <v>49</v>
      </c>
      <c r="F111" t="s">
        <v>24</v>
      </c>
      <c r="G111" t="s">
        <v>47</v>
      </c>
      <c r="H111" t="s">
        <v>63</v>
      </c>
      <c r="I111" t="s">
        <v>64</v>
      </c>
      <c r="J111">
        <v>45</v>
      </c>
      <c r="K111">
        <v>94.38</v>
      </c>
      <c r="L111" s="3">
        <v>0.12</v>
      </c>
      <c r="M111">
        <f t="shared" si="15"/>
        <v>4247.0999999999995</v>
      </c>
      <c r="N111">
        <f t="shared" si="16"/>
        <v>509.65199999999993</v>
      </c>
      <c r="O111">
        <f t="shared" si="17"/>
        <v>3737.4479999999994</v>
      </c>
      <c r="P111">
        <f>M111*0.48</f>
        <v>2038.6079999999997</v>
      </c>
      <c r="Q111">
        <f t="shared" si="18"/>
        <v>1698.8399999999997</v>
      </c>
      <c r="R111" s="3">
        <f t="shared" si="19"/>
        <v>0.45454545454545453</v>
      </c>
      <c r="S111">
        <v>4</v>
      </c>
      <c r="T111" t="s">
        <v>38</v>
      </c>
    </row>
    <row r="112" spans="1:20" x14ac:dyDescent="0.35">
      <c r="A112" t="s">
        <v>168</v>
      </c>
      <c r="B112" s="2">
        <v>46124</v>
      </c>
      <c r="C112" t="s">
        <v>30</v>
      </c>
      <c r="D112" t="s">
        <v>51</v>
      </c>
      <c r="E112" t="s">
        <v>31</v>
      </c>
      <c r="F112" t="s">
        <v>24</v>
      </c>
      <c r="G112" t="s">
        <v>41</v>
      </c>
      <c r="H112" t="s">
        <v>42</v>
      </c>
      <c r="I112" t="s">
        <v>43</v>
      </c>
      <c r="J112">
        <v>15</v>
      </c>
      <c r="K112">
        <v>167.73</v>
      </c>
      <c r="L112" s="3">
        <v>0.1</v>
      </c>
      <c r="M112">
        <f t="shared" si="15"/>
        <v>2515.9499999999998</v>
      </c>
      <c r="N112">
        <f t="shared" si="16"/>
        <v>251.595</v>
      </c>
      <c r="O112">
        <f t="shared" si="17"/>
        <v>2264.355</v>
      </c>
      <c r="P112">
        <f>M112*0.5</f>
        <v>1257.9749999999999</v>
      </c>
      <c r="Q112">
        <f t="shared" si="18"/>
        <v>1006.3800000000001</v>
      </c>
      <c r="R112" s="3">
        <f t="shared" si="19"/>
        <v>0.44444444444444448</v>
      </c>
      <c r="S112">
        <v>3</v>
      </c>
      <c r="T112" t="s">
        <v>38</v>
      </c>
    </row>
    <row r="113" spans="1:20" x14ac:dyDescent="0.35">
      <c r="A113" t="s">
        <v>169</v>
      </c>
      <c r="B113" s="2">
        <v>46108</v>
      </c>
      <c r="C113" t="s">
        <v>59</v>
      </c>
      <c r="D113" t="s">
        <v>51</v>
      </c>
      <c r="E113" t="s">
        <v>49</v>
      </c>
      <c r="F113" t="s">
        <v>34</v>
      </c>
      <c r="G113" t="s">
        <v>35</v>
      </c>
      <c r="H113" t="s">
        <v>36</v>
      </c>
      <c r="I113" t="s">
        <v>37</v>
      </c>
      <c r="J113">
        <v>37</v>
      </c>
      <c r="K113">
        <v>403.8</v>
      </c>
      <c r="L113" s="3">
        <v>0.03</v>
      </c>
      <c r="M113">
        <f t="shared" si="15"/>
        <v>14940.6</v>
      </c>
      <c r="N113">
        <f t="shared" si="16"/>
        <v>448.21800000000002</v>
      </c>
      <c r="O113">
        <f t="shared" si="17"/>
        <v>14492.382</v>
      </c>
      <c r="P113">
        <f>M113*0.55</f>
        <v>8217.3300000000017</v>
      </c>
      <c r="Q113">
        <f t="shared" si="18"/>
        <v>6275.0519999999979</v>
      </c>
      <c r="R113" s="3">
        <f t="shared" si="19"/>
        <v>0.43298969072164933</v>
      </c>
      <c r="S113">
        <v>4</v>
      </c>
      <c r="T113" t="s">
        <v>38</v>
      </c>
    </row>
    <row r="114" spans="1:20" x14ac:dyDescent="0.35">
      <c r="A114" t="s">
        <v>170</v>
      </c>
      <c r="B114" s="2">
        <v>46060</v>
      </c>
      <c r="C114" t="s">
        <v>40</v>
      </c>
      <c r="D114" t="s">
        <v>22</v>
      </c>
      <c r="E114" t="s">
        <v>23</v>
      </c>
      <c r="F114" t="s">
        <v>34</v>
      </c>
      <c r="G114" t="s">
        <v>25</v>
      </c>
      <c r="H114" t="s">
        <v>36</v>
      </c>
      <c r="I114" t="s">
        <v>70</v>
      </c>
      <c r="J114">
        <v>36</v>
      </c>
      <c r="K114">
        <v>727.6</v>
      </c>
      <c r="L114" s="3">
        <v>0.03</v>
      </c>
      <c r="M114">
        <f t="shared" si="15"/>
        <v>26193.600000000002</v>
      </c>
      <c r="N114">
        <f t="shared" si="16"/>
        <v>785.80799999999999</v>
      </c>
      <c r="O114">
        <f t="shared" si="17"/>
        <v>25407.792000000001</v>
      </c>
      <c r="P114">
        <f>M114*0.6</f>
        <v>15716.16</v>
      </c>
      <c r="Q114">
        <f t="shared" si="18"/>
        <v>9691.6320000000014</v>
      </c>
      <c r="R114" s="3">
        <f t="shared" si="19"/>
        <v>0.3814432989690722</v>
      </c>
      <c r="S114">
        <v>3</v>
      </c>
      <c r="T114" t="s">
        <v>38</v>
      </c>
    </row>
    <row r="115" spans="1:20" x14ac:dyDescent="0.35">
      <c r="A115" t="s">
        <v>171</v>
      </c>
      <c r="B115" s="2">
        <v>46056</v>
      </c>
      <c r="C115" t="s">
        <v>40</v>
      </c>
      <c r="D115" t="s">
        <v>56</v>
      </c>
      <c r="E115" t="s">
        <v>49</v>
      </c>
      <c r="F115" t="s">
        <v>24</v>
      </c>
      <c r="G115" t="s">
        <v>47</v>
      </c>
      <c r="H115" t="s">
        <v>26</v>
      </c>
      <c r="I115" t="s">
        <v>27</v>
      </c>
      <c r="J115">
        <v>18</v>
      </c>
      <c r="K115">
        <v>539.67999999999995</v>
      </c>
      <c r="L115" s="3">
        <v>0.12</v>
      </c>
      <c r="M115">
        <f t="shared" si="15"/>
        <v>9714.24</v>
      </c>
      <c r="N115">
        <f t="shared" si="16"/>
        <v>1165.7087999999999</v>
      </c>
      <c r="O115">
        <f t="shared" si="17"/>
        <v>8548.5311999999994</v>
      </c>
      <c r="P115">
        <f>M115*0.58</f>
        <v>5634.2591999999995</v>
      </c>
      <c r="Q115">
        <f t="shared" si="18"/>
        <v>2914.2719999999999</v>
      </c>
      <c r="R115" s="3">
        <f t="shared" si="19"/>
        <v>0.34090909090909094</v>
      </c>
      <c r="S115">
        <v>4</v>
      </c>
      <c r="T115" t="s">
        <v>28</v>
      </c>
    </row>
    <row r="116" spans="1:20" x14ac:dyDescent="0.35">
      <c r="A116" t="s">
        <v>172</v>
      </c>
      <c r="B116" s="2">
        <v>46052</v>
      </c>
      <c r="C116" t="s">
        <v>67</v>
      </c>
      <c r="D116" t="s">
        <v>22</v>
      </c>
      <c r="E116" t="s">
        <v>79</v>
      </c>
      <c r="F116" t="s">
        <v>34</v>
      </c>
      <c r="G116" t="s">
        <v>41</v>
      </c>
      <c r="H116" t="s">
        <v>26</v>
      </c>
      <c r="I116" t="s">
        <v>54</v>
      </c>
      <c r="J116">
        <v>34</v>
      </c>
      <c r="K116">
        <v>322.01</v>
      </c>
      <c r="L116" s="3">
        <v>0.08</v>
      </c>
      <c r="M116">
        <f t="shared" si="15"/>
        <v>10948.34</v>
      </c>
      <c r="N116">
        <f t="shared" si="16"/>
        <v>875.86720000000003</v>
      </c>
      <c r="O116">
        <f t="shared" si="17"/>
        <v>10072.4728</v>
      </c>
      <c r="P116">
        <f>M116*0.54</f>
        <v>5912.1036000000004</v>
      </c>
      <c r="Q116">
        <f t="shared" si="18"/>
        <v>4160.3691999999992</v>
      </c>
      <c r="R116" s="3">
        <f t="shared" si="19"/>
        <v>0.41304347826086951</v>
      </c>
      <c r="S116">
        <v>5</v>
      </c>
      <c r="T116" t="s">
        <v>38</v>
      </c>
    </row>
    <row r="117" spans="1:20" x14ac:dyDescent="0.35">
      <c r="A117" t="s">
        <v>173</v>
      </c>
      <c r="B117" s="2">
        <v>46180</v>
      </c>
      <c r="C117" t="s">
        <v>21</v>
      </c>
      <c r="D117" t="s">
        <v>62</v>
      </c>
      <c r="E117" t="s">
        <v>23</v>
      </c>
      <c r="F117" t="s">
        <v>34</v>
      </c>
      <c r="G117" t="s">
        <v>41</v>
      </c>
      <c r="H117" t="s">
        <v>26</v>
      </c>
      <c r="I117" t="s">
        <v>27</v>
      </c>
      <c r="J117">
        <v>3</v>
      </c>
      <c r="K117">
        <v>540.66</v>
      </c>
      <c r="L117" s="3">
        <v>0.08</v>
      </c>
      <c r="M117">
        <f t="shared" si="15"/>
        <v>1621.98</v>
      </c>
      <c r="N117">
        <f t="shared" si="16"/>
        <v>129.75839999999999</v>
      </c>
      <c r="O117">
        <f t="shared" si="17"/>
        <v>1492.2216000000001</v>
      </c>
      <c r="P117">
        <f>M117*0.58</f>
        <v>940.74839999999995</v>
      </c>
      <c r="Q117">
        <f t="shared" si="18"/>
        <v>551.47320000000013</v>
      </c>
      <c r="R117" s="3">
        <f t="shared" si="19"/>
        <v>0.36956521739130443</v>
      </c>
      <c r="S117">
        <v>4</v>
      </c>
      <c r="T117" t="s">
        <v>44</v>
      </c>
    </row>
    <row r="118" spans="1:20" x14ac:dyDescent="0.35">
      <c r="A118" t="s">
        <v>174</v>
      </c>
      <c r="B118" s="2">
        <v>46198</v>
      </c>
      <c r="C118" t="s">
        <v>21</v>
      </c>
      <c r="D118" t="s">
        <v>33</v>
      </c>
      <c r="E118" t="s">
        <v>79</v>
      </c>
      <c r="F118" t="s">
        <v>34</v>
      </c>
      <c r="G118" t="s">
        <v>35</v>
      </c>
      <c r="H118" t="s">
        <v>26</v>
      </c>
      <c r="I118" t="s">
        <v>27</v>
      </c>
      <c r="J118">
        <v>22</v>
      </c>
      <c r="K118">
        <v>604.16</v>
      </c>
      <c r="L118" s="3">
        <v>0</v>
      </c>
      <c r="M118">
        <f t="shared" si="15"/>
        <v>13291.519999999999</v>
      </c>
      <c r="N118">
        <f t="shared" si="16"/>
        <v>0</v>
      </c>
      <c r="O118">
        <f t="shared" si="17"/>
        <v>13291.519999999999</v>
      </c>
      <c r="P118">
        <f>M118*0.58</f>
        <v>7709.0815999999986</v>
      </c>
      <c r="Q118">
        <f t="shared" si="18"/>
        <v>5582.4384</v>
      </c>
      <c r="R118" s="3">
        <f t="shared" si="19"/>
        <v>0.42000000000000004</v>
      </c>
      <c r="S118">
        <v>4</v>
      </c>
      <c r="T118" t="s">
        <v>38</v>
      </c>
    </row>
    <row r="119" spans="1:20" x14ac:dyDescent="0.35">
      <c r="A119" t="s">
        <v>175</v>
      </c>
      <c r="B119" s="2">
        <v>46182</v>
      </c>
      <c r="C119" t="s">
        <v>21</v>
      </c>
      <c r="D119" t="s">
        <v>62</v>
      </c>
      <c r="E119" t="s">
        <v>52</v>
      </c>
      <c r="F119" t="s">
        <v>34</v>
      </c>
      <c r="G119" t="s">
        <v>41</v>
      </c>
      <c r="H119" t="s">
        <v>26</v>
      </c>
      <c r="I119" t="s">
        <v>54</v>
      </c>
      <c r="J119">
        <v>35</v>
      </c>
      <c r="K119">
        <v>303.48</v>
      </c>
      <c r="L119" s="3">
        <v>0.1</v>
      </c>
      <c r="M119">
        <f t="shared" si="15"/>
        <v>10621.800000000001</v>
      </c>
      <c r="N119">
        <f t="shared" si="16"/>
        <v>1062.18</v>
      </c>
      <c r="O119">
        <f t="shared" si="17"/>
        <v>9559.6200000000008</v>
      </c>
      <c r="P119">
        <f>M119*0.54</f>
        <v>5735.7720000000008</v>
      </c>
      <c r="Q119">
        <f t="shared" si="18"/>
        <v>3823.848</v>
      </c>
      <c r="R119" s="3">
        <f t="shared" si="19"/>
        <v>0.39999999999999997</v>
      </c>
      <c r="S119">
        <v>5</v>
      </c>
      <c r="T119" t="s">
        <v>44</v>
      </c>
    </row>
    <row r="120" spans="1:20" x14ac:dyDescent="0.35">
      <c r="A120" t="s">
        <v>176</v>
      </c>
      <c r="B120" s="2">
        <v>46048</v>
      </c>
      <c r="C120" t="s">
        <v>67</v>
      </c>
      <c r="D120" t="s">
        <v>22</v>
      </c>
      <c r="E120" t="s">
        <v>49</v>
      </c>
      <c r="F120" t="s">
        <v>34</v>
      </c>
      <c r="G120" t="s">
        <v>41</v>
      </c>
      <c r="H120" t="s">
        <v>26</v>
      </c>
      <c r="I120" t="s">
        <v>54</v>
      </c>
      <c r="J120">
        <v>16</v>
      </c>
      <c r="K120">
        <v>310.86</v>
      </c>
      <c r="L120" s="3">
        <v>0.08</v>
      </c>
      <c r="M120">
        <f t="shared" si="15"/>
        <v>4973.76</v>
      </c>
      <c r="N120">
        <f t="shared" si="16"/>
        <v>397.9008</v>
      </c>
      <c r="O120">
        <f t="shared" si="17"/>
        <v>4575.8591999999999</v>
      </c>
      <c r="P120">
        <f>M120*0.54</f>
        <v>2685.8304000000003</v>
      </c>
      <c r="Q120">
        <f t="shared" si="18"/>
        <v>1890.0287999999996</v>
      </c>
      <c r="R120" s="3">
        <f t="shared" si="19"/>
        <v>0.41304347826086951</v>
      </c>
      <c r="S120">
        <v>4</v>
      </c>
      <c r="T120" t="s">
        <v>44</v>
      </c>
    </row>
    <row r="121" spans="1:20" x14ac:dyDescent="0.35">
      <c r="A121" t="s">
        <v>177</v>
      </c>
      <c r="B121" s="2">
        <v>46047</v>
      </c>
      <c r="C121" t="s">
        <v>67</v>
      </c>
      <c r="D121" t="s">
        <v>33</v>
      </c>
      <c r="E121" t="s">
        <v>52</v>
      </c>
      <c r="F121" t="s">
        <v>34</v>
      </c>
      <c r="G121" t="s">
        <v>47</v>
      </c>
      <c r="H121" t="s">
        <v>42</v>
      </c>
      <c r="I121" t="s">
        <v>43</v>
      </c>
      <c r="J121">
        <v>11</v>
      </c>
      <c r="K121">
        <v>169.18</v>
      </c>
      <c r="L121" s="3">
        <v>0.08</v>
      </c>
      <c r="M121">
        <f t="shared" si="15"/>
        <v>1860.98</v>
      </c>
      <c r="N121">
        <f t="shared" si="16"/>
        <v>148.8784</v>
      </c>
      <c r="O121">
        <f t="shared" si="17"/>
        <v>1712.1016</v>
      </c>
      <c r="P121">
        <f>M121*0.5</f>
        <v>930.49</v>
      </c>
      <c r="Q121">
        <f t="shared" si="18"/>
        <v>781.61159999999995</v>
      </c>
      <c r="R121" s="3">
        <f t="shared" si="19"/>
        <v>0.45652173913043476</v>
      </c>
      <c r="S121">
        <v>3</v>
      </c>
      <c r="T121" t="s">
        <v>38</v>
      </c>
    </row>
    <row r="122" spans="1:20" x14ac:dyDescent="0.35">
      <c r="A122" t="s">
        <v>178</v>
      </c>
      <c r="B122" s="2">
        <v>46044</v>
      </c>
      <c r="C122" t="s">
        <v>67</v>
      </c>
      <c r="D122" t="s">
        <v>33</v>
      </c>
      <c r="E122" t="s">
        <v>31</v>
      </c>
      <c r="F122" t="s">
        <v>34</v>
      </c>
      <c r="G122" t="s">
        <v>47</v>
      </c>
      <c r="H122" t="s">
        <v>26</v>
      </c>
      <c r="I122" t="s">
        <v>27</v>
      </c>
      <c r="J122">
        <v>37</v>
      </c>
      <c r="K122">
        <v>540.55999999999995</v>
      </c>
      <c r="L122" s="3">
        <v>0.1</v>
      </c>
      <c r="M122">
        <f t="shared" si="15"/>
        <v>20000.719999999998</v>
      </c>
      <c r="N122">
        <f t="shared" si="16"/>
        <v>2000.0719999999999</v>
      </c>
      <c r="O122">
        <f t="shared" si="17"/>
        <v>18000.647999999997</v>
      </c>
      <c r="P122">
        <f>M122*0.58</f>
        <v>11600.417599999997</v>
      </c>
      <c r="Q122">
        <f t="shared" si="18"/>
        <v>6400.2304000000004</v>
      </c>
      <c r="R122" s="3">
        <f t="shared" si="19"/>
        <v>0.35555555555555562</v>
      </c>
      <c r="S122">
        <v>5</v>
      </c>
      <c r="T122" t="s">
        <v>38</v>
      </c>
    </row>
    <row r="123" spans="1:20" x14ac:dyDescent="0.35">
      <c r="A123" t="s">
        <v>179</v>
      </c>
      <c r="B123" s="2">
        <v>46194</v>
      </c>
      <c r="C123" t="s">
        <v>21</v>
      </c>
      <c r="D123" t="s">
        <v>33</v>
      </c>
      <c r="E123" t="s">
        <v>52</v>
      </c>
      <c r="F123" t="s">
        <v>34</v>
      </c>
      <c r="G123" t="s">
        <v>41</v>
      </c>
      <c r="H123" t="s">
        <v>26</v>
      </c>
      <c r="I123" t="s">
        <v>27</v>
      </c>
      <c r="J123">
        <v>5</v>
      </c>
      <c r="K123">
        <v>645.92999999999995</v>
      </c>
      <c r="L123" s="3">
        <v>0.1</v>
      </c>
      <c r="M123">
        <f t="shared" si="15"/>
        <v>3229.6499999999996</v>
      </c>
      <c r="N123">
        <f t="shared" si="16"/>
        <v>322.96499999999997</v>
      </c>
      <c r="O123">
        <f t="shared" si="17"/>
        <v>2906.6849999999995</v>
      </c>
      <c r="P123">
        <f>M123*0.58</f>
        <v>1873.1969999999997</v>
      </c>
      <c r="Q123">
        <f t="shared" si="18"/>
        <v>1033.4879999999998</v>
      </c>
      <c r="R123" s="3">
        <f t="shared" si="19"/>
        <v>0.35555555555555557</v>
      </c>
      <c r="S123">
        <v>4</v>
      </c>
      <c r="T123" t="s">
        <v>38</v>
      </c>
    </row>
    <row r="124" spans="1:20" x14ac:dyDescent="0.35">
      <c r="A124" t="s">
        <v>180</v>
      </c>
      <c r="B124" s="2">
        <v>46049</v>
      </c>
      <c r="C124" t="s">
        <v>67</v>
      </c>
      <c r="D124" t="s">
        <v>62</v>
      </c>
      <c r="E124" t="s">
        <v>49</v>
      </c>
      <c r="F124" t="s">
        <v>34</v>
      </c>
      <c r="G124" t="s">
        <v>25</v>
      </c>
      <c r="H124" t="s">
        <v>36</v>
      </c>
      <c r="I124" t="s">
        <v>70</v>
      </c>
      <c r="J124">
        <v>16</v>
      </c>
      <c r="K124">
        <v>817.09</v>
      </c>
      <c r="L124" s="3">
        <v>0.05</v>
      </c>
      <c r="M124">
        <f t="shared" si="15"/>
        <v>13073.44</v>
      </c>
      <c r="N124">
        <f t="shared" si="16"/>
        <v>653.67200000000003</v>
      </c>
      <c r="O124">
        <f t="shared" si="17"/>
        <v>12419.768</v>
      </c>
      <c r="P124">
        <f>M124*0.6</f>
        <v>7844.0640000000003</v>
      </c>
      <c r="Q124">
        <f t="shared" si="18"/>
        <v>4575.7039999999997</v>
      </c>
      <c r="R124" s="3">
        <f t="shared" si="19"/>
        <v>0.36842105263157893</v>
      </c>
      <c r="S124">
        <v>5</v>
      </c>
      <c r="T124" t="s">
        <v>38</v>
      </c>
    </row>
    <row r="125" spans="1:20" x14ac:dyDescent="0.35">
      <c r="A125" t="s">
        <v>181</v>
      </c>
      <c r="B125" s="2">
        <v>46052</v>
      </c>
      <c r="C125" t="s">
        <v>67</v>
      </c>
      <c r="D125" t="s">
        <v>62</v>
      </c>
      <c r="E125" t="s">
        <v>49</v>
      </c>
      <c r="F125" t="s">
        <v>34</v>
      </c>
      <c r="G125" t="s">
        <v>41</v>
      </c>
      <c r="H125" t="s">
        <v>42</v>
      </c>
      <c r="I125" t="s">
        <v>43</v>
      </c>
      <c r="J125">
        <v>41</v>
      </c>
      <c r="K125">
        <v>166.83</v>
      </c>
      <c r="L125" s="3">
        <v>0.12</v>
      </c>
      <c r="M125">
        <f t="shared" si="15"/>
        <v>6840.0300000000007</v>
      </c>
      <c r="N125">
        <f t="shared" si="16"/>
        <v>820.80360000000007</v>
      </c>
      <c r="O125">
        <f t="shared" si="17"/>
        <v>6019.2264000000005</v>
      </c>
      <c r="P125">
        <f>M125*0.5</f>
        <v>3420.0150000000003</v>
      </c>
      <c r="Q125">
        <f t="shared" si="18"/>
        <v>2599.2114000000001</v>
      </c>
      <c r="R125" s="3">
        <f t="shared" si="19"/>
        <v>0.43181818181818182</v>
      </c>
      <c r="S125">
        <v>5</v>
      </c>
      <c r="T125" t="s">
        <v>38</v>
      </c>
    </row>
    <row r="126" spans="1:20" x14ac:dyDescent="0.35">
      <c r="A126" t="s">
        <v>182</v>
      </c>
      <c r="B126" s="2">
        <v>46178</v>
      </c>
      <c r="C126" t="s">
        <v>21</v>
      </c>
      <c r="D126" t="s">
        <v>56</v>
      </c>
      <c r="E126" t="s">
        <v>57</v>
      </c>
      <c r="F126" t="s">
        <v>24</v>
      </c>
      <c r="G126" t="s">
        <v>25</v>
      </c>
      <c r="H126" t="s">
        <v>26</v>
      </c>
      <c r="I126" t="s">
        <v>54</v>
      </c>
      <c r="J126">
        <v>21</v>
      </c>
      <c r="K126">
        <v>342.34</v>
      </c>
      <c r="L126" s="3">
        <v>0.05</v>
      </c>
      <c r="M126">
        <f t="shared" si="15"/>
        <v>7189.1399999999994</v>
      </c>
      <c r="N126">
        <f t="shared" si="16"/>
        <v>359.45699999999999</v>
      </c>
      <c r="O126">
        <f t="shared" si="17"/>
        <v>6829.6829999999991</v>
      </c>
      <c r="P126">
        <f>M126*0.54</f>
        <v>3882.1356000000001</v>
      </c>
      <c r="Q126">
        <f t="shared" si="18"/>
        <v>2947.547399999999</v>
      </c>
      <c r="R126" s="3">
        <f t="shared" si="19"/>
        <v>0.43157894736842095</v>
      </c>
      <c r="S126">
        <v>3</v>
      </c>
      <c r="T126" t="s">
        <v>38</v>
      </c>
    </row>
    <row r="127" spans="1:20" x14ac:dyDescent="0.35">
      <c r="A127" t="s">
        <v>183</v>
      </c>
      <c r="B127" s="2">
        <v>46059</v>
      </c>
      <c r="C127" t="s">
        <v>40</v>
      </c>
      <c r="D127" t="s">
        <v>33</v>
      </c>
      <c r="E127" t="s">
        <v>31</v>
      </c>
      <c r="F127" t="s">
        <v>34</v>
      </c>
      <c r="G127" t="s">
        <v>25</v>
      </c>
      <c r="H127" t="s">
        <v>36</v>
      </c>
      <c r="I127" t="s">
        <v>70</v>
      </c>
      <c r="J127">
        <v>3</v>
      </c>
      <c r="K127">
        <v>703.76</v>
      </c>
      <c r="L127" s="3">
        <v>0.1</v>
      </c>
      <c r="M127">
        <f t="shared" si="15"/>
        <v>2111.2799999999997</v>
      </c>
      <c r="N127">
        <f t="shared" si="16"/>
        <v>211.12799999999999</v>
      </c>
      <c r="O127">
        <f t="shared" si="17"/>
        <v>1900.1519999999998</v>
      </c>
      <c r="P127">
        <f>M127*0.6</f>
        <v>1266.7679999999998</v>
      </c>
      <c r="Q127">
        <f t="shared" si="18"/>
        <v>633.38400000000001</v>
      </c>
      <c r="R127" s="3">
        <f t="shared" si="19"/>
        <v>0.33333333333333337</v>
      </c>
      <c r="S127">
        <v>4</v>
      </c>
      <c r="T127" t="s">
        <v>44</v>
      </c>
    </row>
    <row r="128" spans="1:20" x14ac:dyDescent="0.35">
      <c r="A128" t="s">
        <v>184</v>
      </c>
      <c r="B128" s="2">
        <v>46130</v>
      </c>
      <c r="C128" t="s">
        <v>30</v>
      </c>
      <c r="D128" t="s">
        <v>56</v>
      </c>
      <c r="E128" t="s">
        <v>86</v>
      </c>
      <c r="F128" t="s">
        <v>24</v>
      </c>
      <c r="G128" t="s">
        <v>47</v>
      </c>
      <c r="H128" t="s">
        <v>63</v>
      </c>
      <c r="I128" t="s">
        <v>64</v>
      </c>
      <c r="J128">
        <v>22</v>
      </c>
      <c r="K128">
        <v>102.16</v>
      </c>
      <c r="L128" s="3">
        <v>0.1</v>
      </c>
      <c r="M128">
        <f t="shared" si="15"/>
        <v>2247.52</v>
      </c>
      <c r="N128">
        <f t="shared" si="16"/>
        <v>224.75200000000001</v>
      </c>
      <c r="O128">
        <f t="shared" si="17"/>
        <v>2022.768</v>
      </c>
      <c r="P128">
        <f>M128*0.48</f>
        <v>1078.8096</v>
      </c>
      <c r="Q128">
        <f t="shared" si="18"/>
        <v>943.95839999999998</v>
      </c>
      <c r="R128" s="3">
        <f t="shared" si="19"/>
        <v>0.46666666666666667</v>
      </c>
      <c r="S128">
        <v>5</v>
      </c>
      <c r="T128" t="s">
        <v>38</v>
      </c>
    </row>
    <row r="129" spans="1:20" x14ac:dyDescent="0.35">
      <c r="A129" t="s">
        <v>185</v>
      </c>
      <c r="B129" s="2">
        <v>46036</v>
      </c>
      <c r="C129" t="s">
        <v>67</v>
      </c>
      <c r="D129" t="s">
        <v>51</v>
      </c>
      <c r="E129" t="s">
        <v>57</v>
      </c>
      <c r="F129" t="s">
        <v>24</v>
      </c>
      <c r="G129" t="s">
        <v>35</v>
      </c>
      <c r="H129" t="s">
        <v>36</v>
      </c>
      <c r="I129" t="s">
        <v>37</v>
      </c>
      <c r="J129">
        <v>44</v>
      </c>
      <c r="K129">
        <v>422.02</v>
      </c>
      <c r="L129" s="3">
        <v>0.1</v>
      </c>
      <c r="M129">
        <f t="shared" si="15"/>
        <v>18568.879999999997</v>
      </c>
      <c r="N129">
        <f t="shared" si="16"/>
        <v>1856.8879999999999</v>
      </c>
      <c r="O129">
        <f t="shared" si="17"/>
        <v>16711.991999999998</v>
      </c>
      <c r="P129">
        <f>M129*0.55</f>
        <v>10212.884</v>
      </c>
      <c r="Q129">
        <f t="shared" si="18"/>
        <v>6499.1079999999984</v>
      </c>
      <c r="R129" s="3">
        <f t="shared" si="19"/>
        <v>0.38888888888888884</v>
      </c>
      <c r="S129">
        <v>4</v>
      </c>
      <c r="T129" t="s">
        <v>44</v>
      </c>
    </row>
    <row r="130" spans="1:20" x14ac:dyDescent="0.35">
      <c r="A130" t="s">
        <v>186</v>
      </c>
      <c r="B130" s="2">
        <v>46092</v>
      </c>
      <c r="C130" t="s">
        <v>59</v>
      </c>
      <c r="D130" t="s">
        <v>62</v>
      </c>
      <c r="E130" t="s">
        <v>31</v>
      </c>
      <c r="F130" t="s">
        <v>34</v>
      </c>
      <c r="G130" t="s">
        <v>47</v>
      </c>
      <c r="H130" t="s">
        <v>36</v>
      </c>
      <c r="I130" t="s">
        <v>37</v>
      </c>
      <c r="J130">
        <v>20</v>
      </c>
      <c r="K130">
        <v>443.37</v>
      </c>
      <c r="L130" s="3">
        <v>0.1</v>
      </c>
      <c r="M130">
        <f t="shared" ref="M130:M161" si="20">J130*K130</f>
        <v>8867.4</v>
      </c>
      <c r="N130">
        <f t="shared" ref="N130:N161" si="21">M130*L130</f>
        <v>886.74</v>
      </c>
      <c r="O130">
        <f t="shared" ref="O130:O161" si="22">M130-N130</f>
        <v>7980.66</v>
      </c>
      <c r="P130">
        <f>M130*0.55</f>
        <v>4877.0700000000006</v>
      </c>
      <c r="Q130">
        <f t="shared" ref="Q130:Q161" si="23">O130-P130</f>
        <v>3103.5899999999992</v>
      </c>
      <c r="R130" s="3">
        <f t="shared" ref="R130:R161" si="24">Q130/O130</f>
        <v>0.38888888888888878</v>
      </c>
      <c r="S130">
        <v>4</v>
      </c>
      <c r="T130" t="s">
        <v>28</v>
      </c>
    </row>
    <row r="131" spans="1:20" x14ac:dyDescent="0.35">
      <c r="A131" t="s">
        <v>187</v>
      </c>
      <c r="B131" s="2">
        <v>46193</v>
      </c>
      <c r="C131" t="s">
        <v>21</v>
      </c>
      <c r="D131" t="s">
        <v>22</v>
      </c>
      <c r="E131" t="s">
        <v>49</v>
      </c>
      <c r="F131" t="s">
        <v>34</v>
      </c>
      <c r="G131" t="s">
        <v>41</v>
      </c>
      <c r="H131" t="s">
        <v>42</v>
      </c>
      <c r="I131" t="s">
        <v>43</v>
      </c>
      <c r="J131">
        <v>5</v>
      </c>
      <c r="K131">
        <v>147.44999999999999</v>
      </c>
      <c r="L131" s="3">
        <v>0.05</v>
      </c>
      <c r="M131">
        <f t="shared" si="20"/>
        <v>737.25</v>
      </c>
      <c r="N131">
        <f t="shared" si="21"/>
        <v>36.862500000000004</v>
      </c>
      <c r="O131">
        <f t="shared" si="22"/>
        <v>700.38750000000005</v>
      </c>
      <c r="P131">
        <f>M131*0.5</f>
        <v>368.625</v>
      </c>
      <c r="Q131">
        <f t="shared" si="23"/>
        <v>331.76250000000005</v>
      </c>
      <c r="R131" s="3">
        <f t="shared" si="24"/>
        <v>0.47368421052631582</v>
      </c>
      <c r="S131">
        <v>4</v>
      </c>
      <c r="T131" t="s">
        <v>38</v>
      </c>
    </row>
    <row r="132" spans="1:20" x14ac:dyDescent="0.35">
      <c r="A132" t="s">
        <v>188</v>
      </c>
      <c r="B132" s="2">
        <v>46088</v>
      </c>
      <c r="C132" t="s">
        <v>59</v>
      </c>
      <c r="D132" t="s">
        <v>56</v>
      </c>
      <c r="E132" t="s">
        <v>31</v>
      </c>
      <c r="F132" t="s">
        <v>34</v>
      </c>
      <c r="G132" t="s">
        <v>35</v>
      </c>
      <c r="H132" t="s">
        <v>42</v>
      </c>
      <c r="I132" t="s">
        <v>43</v>
      </c>
      <c r="J132">
        <v>29</v>
      </c>
      <c r="K132">
        <v>152.82</v>
      </c>
      <c r="L132" s="3">
        <v>0.08</v>
      </c>
      <c r="M132">
        <f t="shared" si="20"/>
        <v>4431.78</v>
      </c>
      <c r="N132">
        <f t="shared" si="21"/>
        <v>354.54239999999999</v>
      </c>
      <c r="O132">
        <f t="shared" si="22"/>
        <v>4077.2375999999999</v>
      </c>
      <c r="P132">
        <f>M132*0.5</f>
        <v>2215.89</v>
      </c>
      <c r="Q132">
        <f t="shared" si="23"/>
        <v>1861.3476000000001</v>
      </c>
      <c r="R132" s="3">
        <f t="shared" si="24"/>
        <v>0.45652173913043481</v>
      </c>
      <c r="S132">
        <v>5</v>
      </c>
      <c r="T132" t="s">
        <v>38</v>
      </c>
    </row>
    <row r="133" spans="1:20" x14ac:dyDescent="0.35">
      <c r="A133" t="s">
        <v>189</v>
      </c>
      <c r="B133" s="2">
        <v>46151</v>
      </c>
      <c r="C133" t="s">
        <v>46</v>
      </c>
      <c r="D133" t="s">
        <v>56</v>
      </c>
      <c r="E133" t="s">
        <v>31</v>
      </c>
      <c r="F133" t="s">
        <v>34</v>
      </c>
      <c r="G133" t="s">
        <v>41</v>
      </c>
      <c r="H133" t="s">
        <v>36</v>
      </c>
      <c r="I133" t="s">
        <v>70</v>
      </c>
      <c r="J133">
        <v>4</v>
      </c>
      <c r="K133">
        <v>755.43</v>
      </c>
      <c r="L133" s="3">
        <v>0.08</v>
      </c>
      <c r="M133">
        <f t="shared" si="20"/>
        <v>3021.72</v>
      </c>
      <c r="N133">
        <f t="shared" si="21"/>
        <v>241.73759999999999</v>
      </c>
      <c r="O133">
        <f t="shared" si="22"/>
        <v>2779.9823999999999</v>
      </c>
      <c r="P133">
        <f>M133*0.6</f>
        <v>1813.0319999999999</v>
      </c>
      <c r="Q133">
        <f t="shared" si="23"/>
        <v>966.95039999999995</v>
      </c>
      <c r="R133" s="3">
        <f t="shared" si="24"/>
        <v>0.34782608695652173</v>
      </c>
      <c r="S133">
        <v>3</v>
      </c>
      <c r="T133" t="s">
        <v>38</v>
      </c>
    </row>
    <row r="134" spans="1:20" x14ac:dyDescent="0.35">
      <c r="A134" t="s">
        <v>190</v>
      </c>
      <c r="B134" s="2">
        <v>46170</v>
      </c>
      <c r="C134" t="s">
        <v>46</v>
      </c>
      <c r="D134" t="s">
        <v>62</v>
      </c>
      <c r="E134" t="s">
        <v>60</v>
      </c>
      <c r="F134" t="s">
        <v>24</v>
      </c>
      <c r="G134" t="s">
        <v>41</v>
      </c>
      <c r="H134" t="s">
        <v>63</v>
      </c>
      <c r="I134" t="s">
        <v>64</v>
      </c>
      <c r="J134">
        <v>27</v>
      </c>
      <c r="K134">
        <v>87.8</v>
      </c>
      <c r="L134" s="3">
        <v>0.05</v>
      </c>
      <c r="M134">
        <f t="shared" si="20"/>
        <v>2370.6</v>
      </c>
      <c r="N134">
        <f t="shared" si="21"/>
        <v>118.53</v>
      </c>
      <c r="O134">
        <f t="shared" si="22"/>
        <v>2252.0699999999997</v>
      </c>
      <c r="P134">
        <f>M134*0.48</f>
        <v>1137.8879999999999</v>
      </c>
      <c r="Q134">
        <f t="shared" si="23"/>
        <v>1114.1819999999998</v>
      </c>
      <c r="R134" s="3">
        <f t="shared" si="24"/>
        <v>0.49473684210526314</v>
      </c>
      <c r="S134">
        <v>4</v>
      </c>
      <c r="T134" t="s">
        <v>28</v>
      </c>
    </row>
    <row r="135" spans="1:20" x14ac:dyDescent="0.35">
      <c r="A135" t="s">
        <v>191</v>
      </c>
      <c r="B135" s="2">
        <v>46140</v>
      </c>
      <c r="C135" t="s">
        <v>30</v>
      </c>
      <c r="D135" t="s">
        <v>56</v>
      </c>
      <c r="E135" t="s">
        <v>31</v>
      </c>
      <c r="F135" t="s">
        <v>34</v>
      </c>
      <c r="G135" t="s">
        <v>41</v>
      </c>
      <c r="H135" t="s">
        <v>26</v>
      </c>
      <c r="I135" t="s">
        <v>54</v>
      </c>
      <c r="J135">
        <v>17</v>
      </c>
      <c r="K135">
        <v>312.20999999999998</v>
      </c>
      <c r="L135" s="3">
        <v>0.08</v>
      </c>
      <c r="M135">
        <f t="shared" si="20"/>
        <v>5307.57</v>
      </c>
      <c r="N135">
        <f t="shared" si="21"/>
        <v>424.60559999999998</v>
      </c>
      <c r="O135">
        <f t="shared" si="22"/>
        <v>4882.9643999999998</v>
      </c>
      <c r="P135">
        <f>M135*0.54</f>
        <v>2866.0878000000002</v>
      </c>
      <c r="Q135">
        <f t="shared" si="23"/>
        <v>2016.8765999999996</v>
      </c>
      <c r="R135" s="3">
        <f t="shared" si="24"/>
        <v>0.41304347826086951</v>
      </c>
      <c r="S135">
        <v>5</v>
      </c>
      <c r="T135" t="s">
        <v>38</v>
      </c>
    </row>
    <row r="136" spans="1:20" x14ac:dyDescent="0.35">
      <c r="A136" t="s">
        <v>192</v>
      </c>
      <c r="B136" s="2">
        <v>46124</v>
      </c>
      <c r="C136" t="s">
        <v>30</v>
      </c>
      <c r="D136" t="s">
        <v>56</v>
      </c>
      <c r="E136" t="s">
        <v>49</v>
      </c>
      <c r="F136" t="s">
        <v>34</v>
      </c>
      <c r="G136" t="s">
        <v>47</v>
      </c>
      <c r="H136" t="s">
        <v>42</v>
      </c>
      <c r="I136" t="s">
        <v>43</v>
      </c>
      <c r="J136">
        <v>6</v>
      </c>
      <c r="K136">
        <v>163.54</v>
      </c>
      <c r="L136" s="3">
        <v>0</v>
      </c>
      <c r="M136">
        <f t="shared" si="20"/>
        <v>981.24</v>
      </c>
      <c r="N136">
        <f t="shared" si="21"/>
        <v>0</v>
      </c>
      <c r="O136">
        <f t="shared" si="22"/>
        <v>981.24</v>
      </c>
      <c r="P136">
        <f>M136*0.5</f>
        <v>490.62</v>
      </c>
      <c r="Q136">
        <f t="shared" si="23"/>
        <v>490.62</v>
      </c>
      <c r="R136" s="3">
        <f t="shared" si="24"/>
        <v>0.5</v>
      </c>
      <c r="S136">
        <v>5</v>
      </c>
      <c r="T136" t="s">
        <v>28</v>
      </c>
    </row>
    <row r="137" spans="1:20" x14ac:dyDescent="0.35">
      <c r="A137" t="s">
        <v>193</v>
      </c>
      <c r="B137" s="2">
        <v>46072</v>
      </c>
      <c r="C137" t="s">
        <v>40</v>
      </c>
      <c r="D137" t="s">
        <v>56</v>
      </c>
      <c r="E137" t="s">
        <v>86</v>
      </c>
      <c r="F137" t="s">
        <v>24</v>
      </c>
      <c r="G137" t="s">
        <v>25</v>
      </c>
      <c r="H137" t="s">
        <v>42</v>
      </c>
      <c r="I137" t="s">
        <v>43</v>
      </c>
      <c r="J137">
        <v>18</v>
      </c>
      <c r="K137">
        <v>153.51</v>
      </c>
      <c r="L137" s="3">
        <v>0.1</v>
      </c>
      <c r="M137">
        <f t="shared" si="20"/>
        <v>2763.18</v>
      </c>
      <c r="N137">
        <f t="shared" si="21"/>
        <v>276.31799999999998</v>
      </c>
      <c r="O137">
        <f t="shared" si="22"/>
        <v>2486.8620000000001</v>
      </c>
      <c r="P137">
        <f>M137*0.5</f>
        <v>1381.59</v>
      </c>
      <c r="Q137">
        <f t="shared" si="23"/>
        <v>1105.2720000000002</v>
      </c>
      <c r="R137" s="3">
        <f t="shared" si="24"/>
        <v>0.44444444444444448</v>
      </c>
      <c r="S137">
        <v>4</v>
      </c>
      <c r="T137" t="s">
        <v>38</v>
      </c>
    </row>
    <row r="138" spans="1:20" x14ac:dyDescent="0.35">
      <c r="A138" t="s">
        <v>194</v>
      </c>
      <c r="B138" s="2">
        <v>46068</v>
      </c>
      <c r="C138" t="s">
        <v>40</v>
      </c>
      <c r="D138" t="s">
        <v>33</v>
      </c>
      <c r="E138" t="s">
        <v>79</v>
      </c>
      <c r="F138" t="s">
        <v>34</v>
      </c>
      <c r="G138" t="s">
        <v>41</v>
      </c>
      <c r="H138" t="s">
        <v>26</v>
      </c>
      <c r="I138" t="s">
        <v>54</v>
      </c>
      <c r="J138">
        <v>38</v>
      </c>
      <c r="K138">
        <v>325.07</v>
      </c>
      <c r="L138" s="3">
        <v>0.1</v>
      </c>
      <c r="M138">
        <f t="shared" si="20"/>
        <v>12352.66</v>
      </c>
      <c r="N138">
        <f t="shared" si="21"/>
        <v>1235.2660000000001</v>
      </c>
      <c r="O138">
        <f t="shared" si="22"/>
        <v>11117.394</v>
      </c>
      <c r="P138">
        <f>M138*0.54</f>
        <v>6670.4364000000005</v>
      </c>
      <c r="Q138">
        <f t="shared" si="23"/>
        <v>4446.9575999999997</v>
      </c>
      <c r="R138" s="3">
        <f t="shared" si="24"/>
        <v>0.39999999999999997</v>
      </c>
      <c r="S138">
        <v>4</v>
      </c>
      <c r="T138" t="s">
        <v>38</v>
      </c>
    </row>
    <row r="139" spans="1:20" x14ac:dyDescent="0.35">
      <c r="A139" t="s">
        <v>195</v>
      </c>
      <c r="B139" s="2">
        <v>46061</v>
      </c>
      <c r="C139" t="s">
        <v>40</v>
      </c>
      <c r="D139" t="s">
        <v>22</v>
      </c>
      <c r="E139" t="s">
        <v>79</v>
      </c>
      <c r="F139" t="s">
        <v>34</v>
      </c>
      <c r="G139" t="s">
        <v>41</v>
      </c>
      <c r="H139" t="s">
        <v>63</v>
      </c>
      <c r="I139" t="s">
        <v>64</v>
      </c>
      <c r="J139">
        <v>19</v>
      </c>
      <c r="K139">
        <v>98.64</v>
      </c>
      <c r="L139" s="3">
        <v>0.05</v>
      </c>
      <c r="M139">
        <f t="shared" si="20"/>
        <v>1874.16</v>
      </c>
      <c r="N139">
        <f t="shared" si="21"/>
        <v>93.708000000000013</v>
      </c>
      <c r="O139">
        <f t="shared" si="22"/>
        <v>1780.452</v>
      </c>
      <c r="P139">
        <f>M139*0.48</f>
        <v>899.59680000000003</v>
      </c>
      <c r="Q139">
        <f t="shared" si="23"/>
        <v>880.85519999999997</v>
      </c>
      <c r="R139" s="3">
        <f t="shared" si="24"/>
        <v>0.49473684210526314</v>
      </c>
      <c r="S139">
        <v>5</v>
      </c>
      <c r="T139" t="s">
        <v>38</v>
      </c>
    </row>
    <row r="140" spans="1:20" x14ac:dyDescent="0.35">
      <c r="A140" t="s">
        <v>196</v>
      </c>
      <c r="B140" s="2">
        <v>46102</v>
      </c>
      <c r="C140" t="s">
        <v>59</v>
      </c>
      <c r="D140" t="s">
        <v>33</v>
      </c>
      <c r="E140" t="s">
        <v>57</v>
      </c>
      <c r="F140" t="s">
        <v>34</v>
      </c>
      <c r="G140" t="s">
        <v>35</v>
      </c>
      <c r="H140" t="s">
        <v>63</v>
      </c>
      <c r="I140" t="s">
        <v>64</v>
      </c>
      <c r="J140">
        <v>20</v>
      </c>
      <c r="K140">
        <v>88.86</v>
      </c>
      <c r="L140" s="3">
        <v>0</v>
      </c>
      <c r="M140">
        <f t="shared" si="20"/>
        <v>1777.2</v>
      </c>
      <c r="N140">
        <f t="shared" si="21"/>
        <v>0</v>
      </c>
      <c r="O140">
        <f t="shared" si="22"/>
        <v>1777.2</v>
      </c>
      <c r="P140">
        <f>M140*0.48</f>
        <v>853.05600000000004</v>
      </c>
      <c r="Q140">
        <f t="shared" si="23"/>
        <v>924.14400000000001</v>
      </c>
      <c r="R140" s="3">
        <f t="shared" si="24"/>
        <v>0.52</v>
      </c>
      <c r="S140">
        <v>5</v>
      </c>
      <c r="T140" t="s">
        <v>28</v>
      </c>
    </row>
    <row r="141" spans="1:20" x14ac:dyDescent="0.35">
      <c r="A141" t="s">
        <v>197</v>
      </c>
      <c r="B141" s="2">
        <v>46152</v>
      </c>
      <c r="C141" t="s">
        <v>46</v>
      </c>
      <c r="D141" t="s">
        <v>33</v>
      </c>
      <c r="E141" t="s">
        <v>57</v>
      </c>
      <c r="F141" t="s">
        <v>34</v>
      </c>
      <c r="G141" t="s">
        <v>41</v>
      </c>
      <c r="H141" t="s">
        <v>63</v>
      </c>
      <c r="I141" t="s">
        <v>64</v>
      </c>
      <c r="J141">
        <v>38</v>
      </c>
      <c r="K141">
        <v>99.78</v>
      </c>
      <c r="L141" s="3">
        <v>0.05</v>
      </c>
      <c r="M141">
        <f t="shared" si="20"/>
        <v>3791.64</v>
      </c>
      <c r="N141">
        <f t="shared" si="21"/>
        <v>189.58199999999999</v>
      </c>
      <c r="O141">
        <f t="shared" si="22"/>
        <v>3602.058</v>
      </c>
      <c r="P141">
        <f>M141*0.48</f>
        <v>1819.9871999999998</v>
      </c>
      <c r="Q141">
        <f t="shared" si="23"/>
        <v>1782.0708000000002</v>
      </c>
      <c r="R141" s="3">
        <f t="shared" si="24"/>
        <v>0.4947368421052632</v>
      </c>
      <c r="S141">
        <v>5</v>
      </c>
      <c r="T141" t="s">
        <v>44</v>
      </c>
    </row>
    <row r="142" spans="1:20" x14ac:dyDescent="0.35">
      <c r="A142" t="s">
        <v>198</v>
      </c>
      <c r="B142" s="2">
        <v>46151</v>
      </c>
      <c r="C142" t="s">
        <v>46</v>
      </c>
      <c r="D142" t="s">
        <v>22</v>
      </c>
      <c r="E142" t="s">
        <v>79</v>
      </c>
      <c r="F142" t="s">
        <v>34</v>
      </c>
      <c r="G142" t="s">
        <v>35</v>
      </c>
      <c r="H142" t="s">
        <v>36</v>
      </c>
      <c r="I142" t="s">
        <v>37</v>
      </c>
      <c r="J142">
        <v>23</v>
      </c>
      <c r="K142">
        <v>468.92</v>
      </c>
      <c r="L142" s="3">
        <v>0</v>
      </c>
      <c r="M142">
        <f t="shared" si="20"/>
        <v>10785.16</v>
      </c>
      <c r="N142">
        <f t="shared" si="21"/>
        <v>0</v>
      </c>
      <c r="O142">
        <f t="shared" si="22"/>
        <v>10785.16</v>
      </c>
      <c r="P142">
        <f>M142*0.55</f>
        <v>5931.8380000000006</v>
      </c>
      <c r="Q142">
        <f t="shared" si="23"/>
        <v>4853.3219999999992</v>
      </c>
      <c r="R142" s="3">
        <f t="shared" si="24"/>
        <v>0.44999999999999996</v>
      </c>
      <c r="S142">
        <v>5</v>
      </c>
      <c r="T142" t="s">
        <v>38</v>
      </c>
    </row>
    <row r="143" spans="1:20" x14ac:dyDescent="0.35">
      <c r="A143" t="s">
        <v>199</v>
      </c>
      <c r="B143" s="2">
        <v>46033</v>
      </c>
      <c r="C143" t="s">
        <v>67</v>
      </c>
      <c r="D143" t="s">
        <v>33</v>
      </c>
      <c r="E143" t="s">
        <v>79</v>
      </c>
      <c r="F143" t="s">
        <v>34</v>
      </c>
      <c r="G143" t="s">
        <v>25</v>
      </c>
      <c r="H143" t="s">
        <v>36</v>
      </c>
      <c r="I143" t="s">
        <v>37</v>
      </c>
      <c r="J143">
        <v>20</v>
      </c>
      <c r="K143">
        <v>418.94</v>
      </c>
      <c r="L143" s="3">
        <v>0.05</v>
      </c>
      <c r="M143">
        <f t="shared" si="20"/>
        <v>8378.7999999999993</v>
      </c>
      <c r="N143">
        <f t="shared" si="21"/>
        <v>418.94</v>
      </c>
      <c r="O143">
        <f t="shared" si="22"/>
        <v>7959.86</v>
      </c>
      <c r="P143">
        <f>M143*0.55</f>
        <v>4608.34</v>
      </c>
      <c r="Q143">
        <f t="shared" si="23"/>
        <v>3351.5199999999995</v>
      </c>
      <c r="R143" s="3">
        <f t="shared" si="24"/>
        <v>0.42105263157894735</v>
      </c>
      <c r="S143">
        <v>5</v>
      </c>
      <c r="T143" t="s">
        <v>28</v>
      </c>
    </row>
    <row r="144" spans="1:20" x14ac:dyDescent="0.35">
      <c r="A144" t="s">
        <v>200</v>
      </c>
      <c r="B144" s="2">
        <v>46036</v>
      </c>
      <c r="C144" t="s">
        <v>67</v>
      </c>
      <c r="D144" t="s">
        <v>56</v>
      </c>
      <c r="E144" t="s">
        <v>31</v>
      </c>
      <c r="F144" t="s">
        <v>24</v>
      </c>
      <c r="G144" t="s">
        <v>47</v>
      </c>
      <c r="H144" t="s">
        <v>26</v>
      </c>
      <c r="I144" t="s">
        <v>54</v>
      </c>
      <c r="J144">
        <v>45</v>
      </c>
      <c r="K144">
        <v>309.17</v>
      </c>
      <c r="L144" s="3">
        <v>0.05</v>
      </c>
      <c r="M144">
        <f t="shared" si="20"/>
        <v>13912.650000000001</v>
      </c>
      <c r="N144">
        <f t="shared" si="21"/>
        <v>695.63250000000016</v>
      </c>
      <c r="O144">
        <f t="shared" si="22"/>
        <v>13217.017500000002</v>
      </c>
      <c r="P144">
        <f>M144*0.54</f>
        <v>7512.831000000001</v>
      </c>
      <c r="Q144">
        <f t="shared" si="23"/>
        <v>5704.1865000000007</v>
      </c>
      <c r="R144" s="3">
        <f t="shared" si="24"/>
        <v>0.43157894736842106</v>
      </c>
      <c r="S144">
        <v>5</v>
      </c>
      <c r="T144" t="s">
        <v>28</v>
      </c>
    </row>
    <row r="145" spans="1:20" x14ac:dyDescent="0.35">
      <c r="A145" t="s">
        <v>201</v>
      </c>
      <c r="B145" s="2">
        <v>46061</v>
      </c>
      <c r="C145" t="s">
        <v>40</v>
      </c>
      <c r="D145" t="s">
        <v>22</v>
      </c>
      <c r="E145" t="s">
        <v>86</v>
      </c>
      <c r="F145" t="s">
        <v>24</v>
      </c>
      <c r="G145" t="s">
        <v>47</v>
      </c>
      <c r="H145" t="s">
        <v>42</v>
      </c>
      <c r="I145" t="s">
        <v>43</v>
      </c>
      <c r="J145">
        <v>43</v>
      </c>
      <c r="K145">
        <v>169.55</v>
      </c>
      <c r="L145" s="3">
        <v>0.08</v>
      </c>
      <c r="M145">
        <f t="shared" si="20"/>
        <v>7290.6500000000005</v>
      </c>
      <c r="N145">
        <f t="shared" si="21"/>
        <v>583.25200000000007</v>
      </c>
      <c r="O145">
        <f t="shared" si="22"/>
        <v>6707.3980000000001</v>
      </c>
      <c r="P145">
        <f>M145*0.5</f>
        <v>3645.3250000000003</v>
      </c>
      <c r="Q145">
        <f t="shared" si="23"/>
        <v>3062.0729999999999</v>
      </c>
      <c r="R145" s="3">
        <f t="shared" si="24"/>
        <v>0.45652173913043476</v>
      </c>
      <c r="S145">
        <v>4</v>
      </c>
      <c r="T145" t="s">
        <v>28</v>
      </c>
    </row>
    <row r="146" spans="1:20" x14ac:dyDescent="0.35">
      <c r="A146" t="s">
        <v>202</v>
      </c>
      <c r="B146" s="2">
        <v>46044</v>
      </c>
      <c r="C146" t="s">
        <v>67</v>
      </c>
      <c r="D146" t="s">
        <v>62</v>
      </c>
      <c r="E146" t="s">
        <v>60</v>
      </c>
      <c r="F146" t="s">
        <v>34</v>
      </c>
      <c r="G146" t="s">
        <v>47</v>
      </c>
      <c r="H146" t="s">
        <v>42</v>
      </c>
      <c r="I146" t="s">
        <v>43</v>
      </c>
      <c r="J146">
        <v>44</v>
      </c>
      <c r="K146">
        <v>169.69</v>
      </c>
      <c r="L146" s="3">
        <v>0.12</v>
      </c>
      <c r="M146">
        <f t="shared" si="20"/>
        <v>7466.36</v>
      </c>
      <c r="N146">
        <f t="shared" si="21"/>
        <v>895.96319999999992</v>
      </c>
      <c r="O146">
        <f t="shared" si="22"/>
        <v>6570.3967999999995</v>
      </c>
      <c r="P146">
        <f>M146*0.5</f>
        <v>3733.18</v>
      </c>
      <c r="Q146">
        <f t="shared" si="23"/>
        <v>2837.2167999999997</v>
      </c>
      <c r="R146" s="3">
        <f t="shared" si="24"/>
        <v>0.43181818181818182</v>
      </c>
      <c r="S146">
        <v>5</v>
      </c>
      <c r="T146" t="s">
        <v>28</v>
      </c>
    </row>
    <row r="147" spans="1:20" x14ac:dyDescent="0.35">
      <c r="A147" t="s">
        <v>203</v>
      </c>
      <c r="B147" s="2">
        <v>46046</v>
      </c>
      <c r="C147" t="s">
        <v>67</v>
      </c>
      <c r="D147" t="s">
        <v>33</v>
      </c>
      <c r="E147" t="s">
        <v>52</v>
      </c>
      <c r="F147" t="s">
        <v>34</v>
      </c>
      <c r="G147" t="s">
        <v>35</v>
      </c>
      <c r="H147" t="s">
        <v>26</v>
      </c>
      <c r="I147" t="s">
        <v>54</v>
      </c>
      <c r="J147">
        <v>13</v>
      </c>
      <c r="K147">
        <v>344.17</v>
      </c>
      <c r="L147" s="3">
        <v>0.05</v>
      </c>
      <c r="M147">
        <f t="shared" si="20"/>
        <v>4474.21</v>
      </c>
      <c r="N147">
        <f t="shared" si="21"/>
        <v>223.71050000000002</v>
      </c>
      <c r="O147">
        <f t="shared" si="22"/>
        <v>4250.4994999999999</v>
      </c>
      <c r="P147">
        <f>M147*0.54</f>
        <v>2416.0734000000002</v>
      </c>
      <c r="Q147">
        <f t="shared" si="23"/>
        <v>1834.4260999999997</v>
      </c>
      <c r="R147" s="3">
        <f t="shared" si="24"/>
        <v>0.43157894736842101</v>
      </c>
      <c r="S147">
        <v>4</v>
      </c>
      <c r="T147" t="s">
        <v>38</v>
      </c>
    </row>
    <row r="148" spans="1:20" x14ac:dyDescent="0.35">
      <c r="A148" t="s">
        <v>204</v>
      </c>
      <c r="B148" s="2">
        <v>46080</v>
      </c>
      <c r="C148" t="s">
        <v>40</v>
      </c>
      <c r="D148" t="s">
        <v>51</v>
      </c>
      <c r="E148" t="s">
        <v>31</v>
      </c>
      <c r="F148" t="s">
        <v>34</v>
      </c>
      <c r="G148" t="s">
        <v>47</v>
      </c>
      <c r="H148" t="s">
        <v>36</v>
      </c>
      <c r="I148" t="s">
        <v>37</v>
      </c>
      <c r="J148">
        <v>8</v>
      </c>
      <c r="K148">
        <v>429.05</v>
      </c>
      <c r="L148" s="3">
        <v>0.1</v>
      </c>
      <c r="M148">
        <f t="shared" si="20"/>
        <v>3432.4</v>
      </c>
      <c r="N148">
        <f t="shared" si="21"/>
        <v>343.24</v>
      </c>
      <c r="O148">
        <f t="shared" si="22"/>
        <v>3089.16</v>
      </c>
      <c r="P148">
        <f>M148*0.55</f>
        <v>1887.8200000000002</v>
      </c>
      <c r="Q148">
        <f t="shared" si="23"/>
        <v>1201.3399999999997</v>
      </c>
      <c r="R148" s="3">
        <f t="shared" si="24"/>
        <v>0.38888888888888878</v>
      </c>
      <c r="S148">
        <v>5</v>
      </c>
      <c r="T148" t="s">
        <v>28</v>
      </c>
    </row>
    <row r="149" spans="1:20" x14ac:dyDescent="0.35">
      <c r="A149" t="s">
        <v>205</v>
      </c>
      <c r="B149" s="2">
        <v>46032</v>
      </c>
      <c r="C149" t="s">
        <v>67</v>
      </c>
      <c r="D149" t="s">
        <v>56</v>
      </c>
      <c r="E149" t="s">
        <v>86</v>
      </c>
      <c r="F149" t="s">
        <v>24</v>
      </c>
      <c r="G149" t="s">
        <v>41</v>
      </c>
      <c r="H149" t="s">
        <v>26</v>
      </c>
      <c r="I149" t="s">
        <v>54</v>
      </c>
      <c r="J149">
        <v>13</v>
      </c>
      <c r="K149">
        <v>336.74</v>
      </c>
      <c r="L149" s="3">
        <v>0.1</v>
      </c>
      <c r="M149">
        <f t="shared" si="20"/>
        <v>4377.62</v>
      </c>
      <c r="N149">
        <f t="shared" si="21"/>
        <v>437.762</v>
      </c>
      <c r="O149">
        <f t="shared" si="22"/>
        <v>3939.8579999999997</v>
      </c>
      <c r="P149">
        <f>M149*0.54</f>
        <v>2363.9148</v>
      </c>
      <c r="Q149">
        <f t="shared" si="23"/>
        <v>1575.9431999999997</v>
      </c>
      <c r="R149" s="3">
        <f t="shared" si="24"/>
        <v>0.39999999999999997</v>
      </c>
      <c r="S149">
        <v>4</v>
      </c>
      <c r="T149" t="s">
        <v>44</v>
      </c>
    </row>
    <row r="150" spans="1:20" x14ac:dyDescent="0.35">
      <c r="A150" t="s">
        <v>206</v>
      </c>
      <c r="B150" s="2">
        <v>46034</v>
      </c>
      <c r="C150" t="s">
        <v>67</v>
      </c>
      <c r="D150" t="s">
        <v>56</v>
      </c>
      <c r="E150" t="s">
        <v>49</v>
      </c>
      <c r="F150" t="s">
        <v>34</v>
      </c>
      <c r="G150" t="s">
        <v>41</v>
      </c>
      <c r="H150" t="s">
        <v>63</v>
      </c>
      <c r="I150" t="s">
        <v>64</v>
      </c>
      <c r="J150">
        <v>30</v>
      </c>
      <c r="K150">
        <v>91.85</v>
      </c>
      <c r="L150" s="3">
        <v>0.03</v>
      </c>
      <c r="M150">
        <f t="shared" si="20"/>
        <v>2755.5</v>
      </c>
      <c r="N150">
        <f t="shared" si="21"/>
        <v>82.664999999999992</v>
      </c>
      <c r="O150">
        <f t="shared" si="22"/>
        <v>2672.835</v>
      </c>
      <c r="P150">
        <f>M150*0.48</f>
        <v>1322.6399999999999</v>
      </c>
      <c r="Q150">
        <f t="shared" si="23"/>
        <v>1350.1950000000002</v>
      </c>
      <c r="R150" s="3">
        <f t="shared" si="24"/>
        <v>0.50515463917525782</v>
      </c>
      <c r="S150">
        <v>4</v>
      </c>
      <c r="T150" t="s">
        <v>44</v>
      </c>
    </row>
    <row r="151" spans="1:20" x14ac:dyDescent="0.35">
      <c r="A151" t="s">
        <v>207</v>
      </c>
      <c r="B151" s="2">
        <v>46072</v>
      </c>
      <c r="C151" t="s">
        <v>40</v>
      </c>
      <c r="D151" t="s">
        <v>62</v>
      </c>
      <c r="E151" t="s">
        <v>79</v>
      </c>
      <c r="F151" t="s">
        <v>34</v>
      </c>
      <c r="G151" t="s">
        <v>41</v>
      </c>
      <c r="H151" t="s">
        <v>42</v>
      </c>
      <c r="I151" t="s">
        <v>43</v>
      </c>
      <c r="J151">
        <v>26</v>
      </c>
      <c r="K151">
        <v>163.29</v>
      </c>
      <c r="L151" s="3">
        <v>0.08</v>
      </c>
      <c r="M151">
        <f t="shared" si="20"/>
        <v>4245.54</v>
      </c>
      <c r="N151">
        <f t="shared" si="21"/>
        <v>339.64319999999998</v>
      </c>
      <c r="O151">
        <f t="shared" si="22"/>
        <v>3905.8968</v>
      </c>
      <c r="P151">
        <f>M151*0.5</f>
        <v>2122.77</v>
      </c>
      <c r="Q151">
        <f t="shared" si="23"/>
        <v>1783.1268</v>
      </c>
      <c r="R151" s="3">
        <f t="shared" si="24"/>
        <v>0.45652173913043481</v>
      </c>
      <c r="S151">
        <v>4</v>
      </c>
      <c r="T151" t="s">
        <v>38</v>
      </c>
    </row>
    <row r="152" spans="1:20" x14ac:dyDescent="0.35">
      <c r="A152" t="s">
        <v>208</v>
      </c>
      <c r="B152" s="2">
        <v>46177</v>
      </c>
      <c r="C152" t="s">
        <v>21</v>
      </c>
      <c r="D152" t="s">
        <v>56</v>
      </c>
      <c r="E152" t="s">
        <v>57</v>
      </c>
      <c r="F152" t="s">
        <v>34</v>
      </c>
      <c r="G152" t="s">
        <v>41</v>
      </c>
      <c r="H152" t="s">
        <v>36</v>
      </c>
      <c r="I152" t="s">
        <v>37</v>
      </c>
      <c r="J152">
        <v>37</v>
      </c>
      <c r="K152">
        <v>464.88</v>
      </c>
      <c r="L152" s="3">
        <v>0.12</v>
      </c>
      <c r="M152">
        <f t="shared" si="20"/>
        <v>17200.560000000001</v>
      </c>
      <c r="N152">
        <f t="shared" si="21"/>
        <v>2064.0672</v>
      </c>
      <c r="O152">
        <f t="shared" si="22"/>
        <v>15136.492800000002</v>
      </c>
      <c r="P152">
        <f>M152*0.55</f>
        <v>9460.3080000000009</v>
      </c>
      <c r="Q152">
        <f t="shared" si="23"/>
        <v>5676.1848000000009</v>
      </c>
      <c r="R152" s="3">
        <f t="shared" si="24"/>
        <v>0.375</v>
      </c>
      <c r="S152">
        <v>5</v>
      </c>
      <c r="T152" t="s">
        <v>38</v>
      </c>
    </row>
    <row r="153" spans="1:20" x14ac:dyDescent="0.35">
      <c r="A153" t="s">
        <v>209</v>
      </c>
      <c r="B153" s="2">
        <v>46095</v>
      </c>
      <c r="C153" t="s">
        <v>59</v>
      </c>
      <c r="D153" t="s">
        <v>51</v>
      </c>
      <c r="E153" t="s">
        <v>23</v>
      </c>
      <c r="F153" t="s">
        <v>34</v>
      </c>
      <c r="G153" t="s">
        <v>41</v>
      </c>
      <c r="H153" t="s">
        <v>26</v>
      </c>
      <c r="I153" t="s">
        <v>27</v>
      </c>
      <c r="J153">
        <v>11</v>
      </c>
      <c r="K153">
        <v>630</v>
      </c>
      <c r="L153" s="3">
        <v>0</v>
      </c>
      <c r="M153">
        <f t="shared" si="20"/>
        <v>6930</v>
      </c>
      <c r="N153">
        <f t="shared" si="21"/>
        <v>0</v>
      </c>
      <c r="O153">
        <f t="shared" si="22"/>
        <v>6930</v>
      </c>
      <c r="P153">
        <f>M153*0.58</f>
        <v>4019.3999999999996</v>
      </c>
      <c r="Q153">
        <f t="shared" si="23"/>
        <v>2910.6000000000004</v>
      </c>
      <c r="R153" s="3">
        <f t="shared" si="24"/>
        <v>0.42000000000000004</v>
      </c>
      <c r="S153">
        <v>4</v>
      </c>
      <c r="T153" t="s">
        <v>44</v>
      </c>
    </row>
    <row r="154" spans="1:20" x14ac:dyDescent="0.35">
      <c r="A154" t="s">
        <v>210</v>
      </c>
      <c r="B154" s="2">
        <v>46112</v>
      </c>
      <c r="C154" t="s">
        <v>59</v>
      </c>
      <c r="D154" t="s">
        <v>33</v>
      </c>
      <c r="E154" t="s">
        <v>57</v>
      </c>
      <c r="F154" t="s">
        <v>34</v>
      </c>
      <c r="G154" t="s">
        <v>41</v>
      </c>
      <c r="H154" t="s">
        <v>26</v>
      </c>
      <c r="I154" t="s">
        <v>27</v>
      </c>
      <c r="J154">
        <v>17</v>
      </c>
      <c r="K154">
        <v>578.4</v>
      </c>
      <c r="L154" s="3">
        <v>0</v>
      </c>
      <c r="M154">
        <f t="shared" si="20"/>
        <v>9832.7999999999993</v>
      </c>
      <c r="N154">
        <f t="shared" si="21"/>
        <v>0</v>
      </c>
      <c r="O154">
        <f t="shared" si="22"/>
        <v>9832.7999999999993</v>
      </c>
      <c r="P154">
        <f>M154*0.58</f>
        <v>5703.0239999999994</v>
      </c>
      <c r="Q154">
        <f t="shared" si="23"/>
        <v>4129.7759999999998</v>
      </c>
      <c r="R154" s="3">
        <f t="shared" si="24"/>
        <v>0.42000000000000004</v>
      </c>
      <c r="S154">
        <v>4</v>
      </c>
      <c r="T154" t="s">
        <v>38</v>
      </c>
    </row>
    <row r="155" spans="1:20" x14ac:dyDescent="0.35">
      <c r="A155" t="s">
        <v>211</v>
      </c>
      <c r="B155" s="2">
        <v>46030</v>
      </c>
      <c r="C155" t="s">
        <v>67</v>
      </c>
      <c r="D155" t="s">
        <v>22</v>
      </c>
      <c r="E155" t="s">
        <v>52</v>
      </c>
      <c r="F155" t="s">
        <v>24</v>
      </c>
      <c r="G155" t="s">
        <v>25</v>
      </c>
      <c r="H155" t="s">
        <v>42</v>
      </c>
      <c r="I155" t="s">
        <v>43</v>
      </c>
      <c r="J155">
        <v>20</v>
      </c>
      <c r="K155">
        <v>176.56</v>
      </c>
      <c r="L155" s="3">
        <v>0.08</v>
      </c>
      <c r="M155">
        <f t="shared" si="20"/>
        <v>3531.2</v>
      </c>
      <c r="N155">
        <f t="shared" si="21"/>
        <v>282.49599999999998</v>
      </c>
      <c r="O155">
        <f t="shared" si="22"/>
        <v>3248.7039999999997</v>
      </c>
      <c r="P155">
        <f>M155*0.5</f>
        <v>1765.6</v>
      </c>
      <c r="Q155">
        <f t="shared" si="23"/>
        <v>1483.1039999999998</v>
      </c>
      <c r="R155" s="3">
        <f t="shared" si="24"/>
        <v>0.45652173913043476</v>
      </c>
      <c r="S155">
        <v>5</v>
      </c>
      <c r="T155" t="s">
        <v>38</v>
      </c>
    </row>
    <row r="156" spans="1:20" x14ac:dyDescent="0.35">
      <c r="A156" t="s">
        <v>212</v>
      </c>
      <c r="B156" s="2">
        <v>46203</v>
      </c>
      <c r="C156" t="s">
        <v>21</v>
      </c>
      <c r="D156" t="s">
        <v>33</v>
      </c>
      <c r="E156" t="s">
        <v>57</v>
      </c>
      <c r="F156" t="s">
        <v>24</v>
      </c>
      <c r="G156" t="s">
        <v>35</v>
      </c>
      <c r="H156" t="s">
        <v>63</v>
      </c>
      <c r="I156" t="s">
        <v>64</v>
      </c>
      <c r="J156">
        <v>15</v>
      </c>
      <c r="K156">
        <v>103.26</v>
      </c>
      <c r="L156" s="3">
        <v>0.1</v>
      </c>
      <c r="M156">
        <f t="shared" si="20"/>
        <v>1548.9</v>
      </c>
      <c r="N156">
        <f t="shared" si="21"/>
        <v>154.89000000000001</v>
      </c>
      <c r="O156">
        <f t="shared" si="22"/>
        <v>1394.01</v>
      </c>
      <c r="P156">
        <f>M156*0.48</f>
        <v>743.47199999999998</v>
      </c>
      <c r="Q156">
        <f t="shared" si="23"/>
        <v>650.53800000000001</v>
      </c>
      <c r="R156" s="3">
        <f t="shared" si="24"/>
        <v>0.46666666666666667</v>
      </c>
      <c r="S156">
        <v>5</v>
      </c>
      <c r="T156" t="s">
        <v>28</v>
      </c>
    </row>
    <row r="157" spans="1:20" x14ac:dyDescent="0.35">
      <c r="A157" t="s">
        <v>213</v>
      </c>
      <c r="B157" s="2">
        <v>46158</v>
      </c>
      <c r="C157" t="s">
        <v>46</v>
      </c>
      <c r="D157" t="s">
        <v>22</v>
      </c>
      <c r="E157" t="s">
        <v>23</v>
      </c>
      <c r="F157" t="s">
        <v>24</v>
      </c>
      <c r="G157" t="s">
        <v>25</v>
      </c>
      <c r="H157" t="s">
        <v>63</v>
      </c>
      <c r="I157" t="s">
        <v>64</v>
      </c>
      <c r="J157">
        <v>5</v>
      </c>
      <c r="K157">
        <v>91.93</v>
      </c>
      <c r="L157" s="3">
        <v>0.12</v>
      </c>
      <c r="M157">
        <f t="shared" si="20"/>
        <v>459.65000000000003</v>
      </c>
      <c r="N157">
        <f t="shared" si="21"/>
        <v>55.158000000000001</v>
      </c>
      <c r="O157">
        <f t="shared" si="22"/>
        <v>404.49200000000002</v>
      </c>
      <c r="P157">
        <f>M157*0.48</f>
        <v>220.63200000000001</v>
      </c>
      <c r="Q157">
        <f t="shared" si="23"/>
        <v>183.86</v>
      </c>
      <c r="R157" s="3">
        <f t="shared" si="24"/>
        <v>0.45454545454545459</v>
      </c>
      <c r="S157">
        <v>5</v>
      </c>
      <c r="T157" t="s">
        <v>44</v>
      </c>
    </row>
    <row r="158" spans="1:20" x14ac:dyDescent="0.35">
      <c r="A158" t="s">
        <v>214</v>
      </c>
      <c r="B158" s="2">
        <v>46039</v>
      </c>
      <c r="C158" t="s">
        <v>67</v>
      </c>
      <c r="D158" t="s">
        <v>33</v>
      </c>
      <c r="E158" t="s">
        <v>57</v>
      </c>
      <c r="F158" t="s">
        <v>34</v>
      </c>
      <c r="G158" t="s">
        <v>25</v>
      </c>
      <c r="H158" t="s">
        <v>26</v>
      </c>
      <c r="I158" t="s">
        <v>27</v>
      </c>
      <c r="J158">
        <v>20</v>
      </c>
      <c r="K158">
        <v>583.39</v>
      </c>
      <c r="L158" s="3">
        <v>0.1</v>
      </c>
      <c r="M158">
        <f t="shared" si="20"/>
        <v>11667.8</v>
      </c>
      <c r="N158">
        <f t="shared" si="21"/>
        <v>1166.78</v>
      </c>
      <c r="O158">
        <f t="shared" si="22"/>
        <v>10501.019999999999</v>
      </c>
      <c r="P158">
        <f>M158*0.58</f>
        <v>6767.3239999999987</v>
      </c>
      <c r="Q158">
        <f t="shared" si="23"/>
        <v>3733.6959999999999</v>
      </c>
      <c r="R158" s="3">
        <f t="shared" si="24"/>
        <v>0.35555555555555557</v>
      </c>
      <c r="S158">
        <v>4</v>
      </c>
      <c r="T158" t="s">
        <v>38</v>
      </c>
    </row>
    <row r="159" spans="1:20" x14ac:dyDescent="0.35">
      <c r="A159" t="s">
        <v>215</v>
      </c>
      <c r="B159" s="2">
        <v>46169</v>
      </c>
      <c r="C159" t="s">
        <v>46</v>
      </c>
      <c r="D159" t="s">
        <v>51</v>
      </c>
      <c r="E159" t="s">
        <v>31</v>
      </c>
      <c r="F159" t="s">
        <v>24</v>
      </c>
      <c r="G159" t="s">
        <v>47</v>
      </c>
      <c r="H159" t="s">
        <v>63</v>
      </c>
      <c r="I159" t="s">
        <v>64</v>
      </c>
      <c r="J159">
        <v>35</v>
      </c>
      <c r="K159">
        <v>97.74</v>
      </c>
      <c r="L159" s="3">
        <v>0.1</v>
      </c>
      <c r="M159">
        <f t="shared" si="20"/>
        <v>3420.8999999999996</v>
      </c>
      <c r="N159">
        <f t="shared" si="21"/>
        <v>342.09</v>
      </c>
      <c r="O159">
        <f t="shared" si="22"/>
        <v>3078.8099999999995</v>
      </c>
      <c r="P159">
        <f>M159*0.48</f>
        <v>1642.0319999999997</v>
      </c>
      <c r="Q159">
        <f t="shared" si="23"/>
        <v>1436.7779999999998</v>
      </c>
      <c r="R159" s="3">
        <f t="shared" si="24"/>
        <v>0.46666666666666667</v>
      </c>
      <c r="S159">
        <v>5</v>
      </c>
      <c r="T159" t="s">
        <v>38</v>
      </c>
    </row>
    <row r="160" spans="1:20" x14ac:dyDescent="0.35">
      <c r="A160" t="s">
        <v>216</v>
      </c>
      <c r="B160" s="2">
        <v>46122</v>
      </c>
      <c r="C160" t="s">
        <v>30</v>
      </c>
      <c r="D160" t="s">
        <v>22</v>
      </c>
      <c r="E160" t="s">
        <v>60</v>
      </c>
      <c r="F160" t="s">
        <v>24</v>
      </c>
      <c r="G160" t="s">
        <v>47</v>
      </c>
      <c r="H160" t="s">
        <v>63</v>
      </c>
      <c r="I160" t="s">
        <v>64</v>
      </c>
      <c r="J160">
        <v>3</v>
      </c>
      <c r="K160">
        <v>94.18</v>
      </c>
      <c r="L160" s="3">
        <v>0</v>
      </c>
      <c r="M160">
        <f t="shared" si="20"/>
        <v>282.54000000000002</v>
      </c>
      <c r="N160">
        <f t="shared" si="21"/>
        <v>0</v>
      </c>
      <c r="O160">
        <f t="shared" si="22"/>
        <v>282.54000000000002</v>
      </c>
      <c r="P160">
        <f>M160*0.48</f>
        <v>135.61920000000001</v>
      </c>
      <c r="Q160">
        <f t="shared" si="23"/>
        <v>146.92080000000001</v>
      </c>
      <c r="R160" s="3">
        <f t="shared" si="24"/>
        <v>0.52</v>
      </c>
      <c r="S160">
        <v>4</v>
      </c>
      <c r="T160" t="s">
        <v>38</v>
      </c>
    </row>
    <row r="161" spans="1:20" x14ac:dyDescent="0.35">
      <c r="A161" t="s">
        <v>217</v>
      </c>
      <c r="B161" s="2">
        <v>46191</v>
      </c>
      <c r="C161" t="s">
        <v>21</v>
      </c>
      <c r="D161" t="s">
        <v>22</v>
      </c>
      <c r="E161" t="s">
        <v>52</v>
      </c>
      <c r="F161" t="s">
        <v>24</v>
      </c>
      <c r="G161" t="s">
        <v>25</v>
      </c>
      <c r="H161" t="s">
        <v>26</v>
      </c>
      <c r="I161" t="s">
        <v>54</v>
      </c>
      <c r="J161">
        <v>36</v>
      </c>
      <c r="K161">
        <v>306.19</v>
      </c>
      <c r="L161" s="3">
        <v>0.12</v>
      </c>
      <c r="M161">
        <f t="shared" si="20"/>
        <v>11022.84</v>
      </c>
      <c r="N161">
        <f t="shared" si="21"/>
        <v>1322.7408</v>
      </c>
      <c r="O161">
        <f t="shared" si="22"/>
        <v>9700.0992000000006</v>
      </c>
      <c r="P161">
        <f>M161*0.54</f>
        <v>5952.3336000000008</v>
      </c>
      <c r="Q161">
        <f t="shared" si="23"/>
        <v>3747.7655999999997</v>
      </c>
      <c r="R161" s="3">
        <f t="shared" si="24"/>
        <v>0.3863636363636363</v>
      </c>
      <c r="S161">
        <v>4</v>
      </c>
      <c r="T161" t="s">
        <v>44</v>
      </c>
    </row>
    <row r="162" spans="1:20" x14ac:dyDescent="0.35">
      <c r="A162" t="s">
        <v>218</v>
      </c>
      <c r="B162" s="2">
        <v>46201</v>
      </c>
      <c r="C162" t="s">
        <v>21</v>
      </c>
      <c r="D162" t="s">
        <v>51</v>
      </c>
      <c r="E162" t="s">
        <v>86</v>
      </c>
      <c r="F162" t="s">
        <v>34</v>
      </c>
      <c r="G162" t="s">
        <v>35</v>
      </c>
      <c r="H162" t="s">
        <v>63</v>
      </c>
      <c r="I162" t="s">
        <v>64</v>
      </c>
      <c r="J162">
        <v>31</v>
      </c>
      <c r="K162">
        <v>88.1</v>
      </c>
      <c r="L162" s="3">
        <v>0.03</v>
      </c>
      <c r="M162">
        <f t="shared" ref="M162:M181" si="25">J162*K162</f>
        <v>2731.1</v>
      </c>
      <c r="N162">
        <f t="shared" ref="N162:N181" si="26">M162*L162</f>
        <v>81.932999999999993</v>
      </c>
      <c r="O162">
        <f t="shared" ref="O162:O181" si="27">M162-N162</f>
        <v>2649.1669999999999</v>
      </c>
      <c r="P162">
        <f>M162*0.48</f>
        <v>1310.9279999999999</v>
      </c>
      <c r="Q162">
        <f t="shared" ref="Q162:Q181" si="28">O162-P162</f>
        <v>1338.239</v>
      </c>
      <c r="R162" s="3">
        <f t="shared" ref="R162:R181" si="29">Q162/O162</f>
        <v>0.50515463917525771</v>
      </c>
      <c r="S162">
        <v>3</v>
      </c>
      <c r="T162" t="s">
        <v>38</v>
      </c>
    </row>
    <row r="163" spans="1:20" x14ac:dyDescent="0.35">
      <c r="A163" t="s">
        <v>219</v>
      </c>
      <c r="B163" s="2">
        <v>46033</v>
      </c>
      <c r="C163" t="s">
        <v>67</v>
      </c>
      <c r="D163" t="s">
        <v>56</v>
      </c>
      <c r="E163" t="s">
        <v>60</v>
      </c>
      <c r="F163" t="s">
        <v>24</v>
      </c>
      <c r="G163" t="s">
        <v>41</v>
      </c>
      <c r="H163" t="s">
        <v>42</v>
      </c>
      <c r="I163" t="s">
        <v>43</v>
      </c>
      <c r="J163">
        <v>43</v>
      </c>
      <c r="K163">
        <v>153.32</v>
      </c>
      <c r="L163" s="3">
        <v>0.05</v>
      </c>
      <c r="M163">
        <f t="shared" si="25"/>
        <v>6592.7599999999993</v>
      </c>
      <c r="N163">
        <f t="shared" si="26"/>
        <v>329.63799999999998</v>
      </c>
      <c r="O163">
        <f t="shared" si="27"/>
        <v>6263.1219999999994</v>
      </c>
      <c r="P163">
        <f>M163*0.5</f>
        <v>3296.3799999999997</v>
      </c>
      <c r="Q163">
        <f t="shared" si="28"/>
        <v>2966.7419999999997</v>
      </c>
      <c r="R163" s="3">
        <f t="shared" si="29"/>
        <v>0.47368421052631582</v>
      </c>
      <c r="S163">
        <v>3</v>
      </c>
      <c r="T163" t="s">
        <v>38</v>
      </c>
    </row>
    <row r="164" spans="1:20" x14ac:dyDescent="0.35">
      <c r="A164" t="s">
        <v>220</v>
      </c>
      <c r="B164" s="2">
        <v>46092</v>
      </c>
      <c r="C164" t="s">
        <v>59</v>
      </c>
      <c r="D164" t="s">
        <v>56</v>
      </c>
      <c r="E164" t="s">
        <v>60</v>
      </c>
      <c r="F164" t="s">
        <v>34</v>
      </c>
      <c r="G164" t="s">
        <v>41</v>
      </c>
      <c r="H164" t="s">
        <v>26</v>
      </c>
      <c r="I164" t="s">
        <v>27</v>
      </c>
      <c r="J164">
        <v>26</v>
      </c>
      <c r="K164">
        <v>572.92999999999995</v>
      </c>
      <c r="L164" s="3">
        <v>0.03</v>
      </c>
      <c r="M164">
        <f t="shared" si="25"/>
        <v>14896.179999999998</v>
      </c>
      <c r="N164">
        <f t="shared" si="26"/>
        <v>446.88539999999995</v>
      </c>
      <c r="O164">
        <f t="shared" si="27"/>
        <v>14449.294599999999</v>
      </c>
      <c r="P164">
        <f>M164*0.58</f>
        <v>8639.7843999999986</v>
      </c>
      <c r="Q164">
        <f t="shared" si="28"/>
        <v>5809.5102000000006</v>
      </c>
      <c r="R164" s="3">
        <f t="shared" si="29"/>
        <v>0.40206185567010316</v>
      </c>
      <c r="S164">
        <v>4</v>
      </c>
      <c r="T164" t="s">
        <v>44</v>
      </c>
    </row>
    <row r="165" spans="1:20" x14ac:dyDescent="0.35">
      <c r="A165" t="s">
        <v>221</v>
      </c>
      <c r="B165" s="2">
        <v>46117</v>
      </c>
      <c r="C165" t="s">
        <v>30</v>
      </c>
      <c r="D165" t="s">
        <v>56</v>
      </c>
      <c r="E165" t="s">
        <v>31</v>
      </c>
      <c r="F165" t="s">
        <v>24</v>
      </c>
      <c r="G165" t="s">
        <v>41</v>
      </c>
      <c r="H165" t="s">
        <v>36</v>
      </c>
      <c r="I165" t="s">
        <v>70</v>
      </c>
      <c r="J165">
        <v>40</v>
      </c>
      <c r="K165">
        <v>839.26</v>
      </c>
      <c r="L165" s="3">
        <v>0.03</v>
      </c>
      <c r="M165">
        <f t="shared" si="25"/>
        <v>33570.400000000001</v>
      </c>
      <c r="N165">
        <f t="shared" si="26"/>
        <v>1007.112</v>
      </c>
      <c r="O165">
        <f t="shared" si="27"/>
        <v>32563.288</v>
      </c>
      <c r="P165">
        <f>M165*0.6</f>
        <v>20142.240000000002</v>
      </c>
      <c r="Q165">
        <f t="shared" si="28"/>
        <v>12421.047999999999</v>
      </c>
      <c r="R165" s="3">
        <f t="shared" si="29"/>
        <v>0.38144329896907214</v>
      </c>
      <c r="S165">
        <v>5</v>
      </c>
      <c r="T165" t="s">
        <v>38</v>
      </c>
    </row>
    <row r="166" spans="1:20" x14ac:dyDescent="0.35">
      <c r="A166" t="s">
        <v>222</v>
      </c>
      <c r="B166" s="2">
        <v>46105</v>
      </c>
      <c r="C166" t="s">
        <v>59</v>
      </c>
      <c r="D166" t="s">
        <v>22</v>
      </c>
      <c r="E166" t="s">
        <v>52</v>
      </c>
      <c r="F166" t="s">
        <v>24</v>
      </c>
      <c r="G166" t="s">
        <v>47</v>
      </c>
      <c r="H166" t="s">
        <v>26</v>
      </c>
      <c r="I166" t="s">
        <v>27</v>
      </c>
      <c r="J166">
        <v>40</v>
      </c>
      <c r="K166">
        <v>616.85</v>
      </c>
      <c r="L166" s="3">
        <v>0.03</v>
      </c>
      <c r="M166">
        <f t="shared" si="25"/>
        <v>24674</v>
      </c>
      <c r="N166">
        <f t="shared" si="26"/>
        <v>740.22</v>
      </c>
      <c r="O166">
        <f t="shared" si="27"/>
        <v>23933.78</v>
      </c>
      <c r="P166">
        <f>M166*0.58</f>
        <v>14310.919999999998</v>
      </c>
      <c r="Q166">
        <f t="shared" si="28"/>
        <v>9622.86</v>
      </c>
      <c r="R166" s="3">
        <f t="shared" si="29"/>
        <v>0.40206185567010316</v>
      </c>
      <c r="S166">
        <v>5</v>
      </c>
      <c r="T166" t="s">
        <v>44</v>
      </c>
    </row>
    <row r="167" spans="1:20" x14ac:dyDescent="0.35">
      <c r="A167" t="s">
        <v>223</v>
      </c>
      <c r="B167" s="2">
        <v>46112</v>
      </c>
      <c r="C167" t="s">
        <v>59</v>
      </c>
      <c r="D167" t="s">
        <v>22</v>
      </c>
      <c r="E167" t="s">
        <v>52</v>
      </c>
      <c r="F167" t="s">
        <v>24</v>
      </c>
      <c r="G167" t="s">
        <v>41</v>
      </c>
      <c r="H167" t="s">
        <v>63</v>
      </c>
      <c r="I167" t="s">
        <v>64</v>
      </c>
      <c r="J167">
        <v>5</v>
      </c>
      <c r="K167">
        <v>88.83</v>
      </c>
      <c r="L167" s="3">
        <v>0.12</v>
      </c>
      <c r="M167">
        <f t="shared" si="25"/>
        <v>444.15</v>
      </c>
      <c r="N167">
        <f t="shared" si="26"/>
        <v>53.297999999999995</v>
      </c>
      <c r="O167">
        <f t="shared" si="27"/>
        <v>390.85199999999998</v>
      </c>
      <c r="P167">
        <f>M167*0.48</f>
        <v>213.19199999999998</v>
      </c>
      <c r="Q167">
        <f t="shared" si="28"/>
        <v>177.66</v>
      </c>
      <c r="R167" s="3">
        <f t="shared" si="29"/>
        <v>0.45454545454545459</v>
      </c>
      <c r="S167">
        <v>4</v>
      </c>
      <c r="T167" t="s">
        <v>38</v>
      </c>
    </row>
    <row r="168" spans="1:20" x14ac:dyDescent="0.35">
      <c r="A168" t="s">
        <v>224</v>
      </c>
      <c r="B168" s="2">
        <v>46154</v>
      </c>
      <c r="C168" t="s">
        <v>46</v>
      </c>
      <c r="D168" t="s">
        <v>51</v>
      </c>
      <c r="E168" t="s">
        <v>57</v>
      </c>
      <c r="F168" t="s">
        <v>34</v>
      </c>
      <c r="G168" t="s">
        <v>25</v>
      </c>
      <c r="H168" t="s">
        <v>26</v>
      </c>
      <c r="I168" t="s">
        <v>54</v>
      </c>
      <c r="J168">
        <v>45</v>
      </c>
      <c r="K168">
        <v>333.64</v>
      </c>
      <c r="L168" s="3">
        <v>0</v>
      </c>
      <c r="M168">
        <f t="shared" si="25"/>
        <v>15013.8</v>
      </c>
      <c r="N168">
        <f t="shared" si="26"/>
        <v>0</v>
      </c>
      <c r="O168">
        <f t="shared" si="27"/>
        <v>15013.8</v>
      </c>
      <c r="P168">
        <f>M168*0.54</f>
        <v>8107.4520000000002</v>
      </c>
      <c r="Q168">
        <f t="shared" si="28"/>
        <v>6906.347999999999</v>
      </c>
      <c r="R168" s="3">
        <f t="shared" si="29"/>
        <v>0.45999999999999996</v>
      </c>
      <c r="S168">
        <v>4</v>
      </c>
      <c r="T168" t="s">
        <v>38</v>
      </c>
    </row>
    <row r="169" spans="1:20" x14ac:dyDescent="0.35">
      <c r="A169" t="s">
        <v>225</v>
      </c>
      <c r="B169" s="2">
        <v>46083</v>
      </c>
      <c r="C169" t="s">
        <v>59</v>
      </c>
      <c r="D169" t="s">
        <v>56</v>
      </c>
      <c r="E169" t="s">
        <v>52</v>
      </c>
      <c r="F169" t="s">
        <v>34</v>
      </c>
      <c r="G169" t="s">
        <v>41</v>
      </c>
      <c r="H169" t="s">
        <v>26</v>
      </c>
      <c r="I169" t="s">
        <v>54</v>
      </c>
      <c r="J169">
        <v>4</v>
      </c>
      <c r="K169">
        <v>322.72000000000003</v>
      </c>
      <c r="L169" s="3">
        <v>0.12</v>
      </c>
      <c r="M169">
        <f t="shared" si="25"/>
        <v>1290.8800000000001</v>
      </c>
      <c r="N169">
        <f t="shared" si="26"/>
        <v>154.90560000000002</v>
      </c>
      <c r="O169">
        <f t="shared" si="27"/>
        <v>1135.9744000000001</v>
      </c>
      <c r="P169">
        <f>M169*0.54</f>
        <v>697.07520000000011</v>
      </c>
      <c r="Q169">
        <f t="shared" si="28"/>
        <v>438.89919999999995</v>
      </c>
      <c r="R169" s="3">
        <f t="shared" si="29"/>
        <v>0.3863636363636363</v>
      </c>
      <c r="S169">
        <v>4</v>
      </c>
      <c r="T169" t="s">
        <v>38</v>
      </c>
    </row>
    <row r="170" spans="1:20" x14ac:dyDescent="0.35">
      <c r="A170" t="s">
        <v>226</v>
      </c>
      <c r="B170" s="2">
        <v>46118</v>
      </c>
      <c r="C170" t="s">
        <v>30</v>
      </c>
      <c r="D170" t="s">
        <v>22</v>
      </c>
      <c r="E170" t="s">
        <v>86</v>
      </c>
      <c r="F170" t="s">
        <v>34</v>
      </c>
      <c r="G170" t="s">
        <v>47</v>
      </c>
      <c r="H170" t="s">
        <v>63</v>
      </c>
      <c r="I170" t="s">
        <v>64</v>
      </c>
      <c r="J170">
        <v>43</v>
      </c>
      <c r="K170">
        <v>92.7</v>
      </c>
      <c r="L170" s="3">
        <v>0</v>
      </c>
      <c r="M170">
        <f t="shared" si="25"/>
        <v>3986.1</v>
      </c>
      <c r="N170">
        <f t="shared" si="26"/>
        <v>0</v>
      </c>
      <c r="O170">
        <f t="shared" si="27"/>
        <v>3986.1</v>
      </c>
      <c r="P170">
        <f>M170*0.48</f>
        <v>1913.328</v>
      </c>
      <c r="Q170">
        <f t="shared" si="28"/>
        <v>2072.7719999999999</v>
      </c>
      <c r="R170" s="3">
        <f t="shared" si="29"/>
        <v>0.52</v>
      </c>
      <c r="S170">
        <v>3</v>
      </c>
      <c r="T170" t="s">
        <v>38</v>
      </c>
    </row>
    <row r="171" spans="1:20" x14ac:dyDescent="0.35">
      <c r="A171" t="s">
        <v>227</v>
      </c>
      <c r="B171" s="2">
        <v>46150</v>
      </c>
      <c r="C171" t="s">
        <v>46</v>
      </c>
      <c r="D171" t="s">
        <v>33</v>
      </c>
      <c r="E171" t="s">
        <v>31</v>
      </c>
      <c r="F171" t="s">
        <v>34</v>
      </c>
      <c r="G171" t="s">
        <v>47</v>
      </c>
      <c r="H171" t="s">
        <v>36</v>
      </c>
      <c r="I171" t="s">
        <v>70</v>
      </c>
      <c r="J171">
        <v>30</v>
      </c>
      <c r="K171">
        <v>722.19</v>
      </c>
      <c r="L171" s="3">
        <v>0.1</v>
      </c>
      <c r="M171">
        <f t="shared" si="25"/>
        <v>21665.7</v>
      </c>
      <c r="N171">
        <f t="shared" si="26"/>
        <v>2166.5700000000002</v>
      </c>
      <c r="O171">
        <f t="shared" si="27"/>
        <v>19499.13</v>
      </c>
      <c r="P171">
        <f>M171*0.6</f>
        <v>12999.42</v>
      </c>
      <c r="Q171">
        <f t="shared" si="28"/>
        <v>6499.7100000000009</v>
      </c>
      <c r="R171" s="3">
        <f t="shared" si="29"/>
        <v>0.33333333333333337</v>
      </c>
      <c r="S171">
        <v>4</v>
      </c>
      <c r="T171" t="s">
        <v>44</v>
      </c>
    </row>
    <row r="172" spans="1:20" x14ac:dyDescent="0.35">
      <c r="A172" t="s">
        <v>228</v>
      </c>
      <c r="B172" s="2">
        <v>46074</v>
      </c>
      <c r="C172" t="s">
        <v>40</v>
      </c>
      <c r="D172" t="s">
        <v>51</v>
      </c>
      <c r="E172" t="s">
        <v>31</v>
      </c>
      <c r="F172" t="s">
        <v>24</v>
      </c>
      <c r="G172" t="s">
        <v>41</v>
      </c>
      <c r="H172" t="s">
        <v>26</v>
      </c>
      <c r="I172" t="s">
        <v>27</v>
      </c>
      <c r="J172">
        <v>30</v>
      </c>
      <c r="K172">
        <v>649.28</v>
      </c>
      <c r="L172" s="3">
        <v>0.12</v>
      </c>
      <c r="M172">
        <f t="shared" si="25"/>
        <v>19478.399999999998</v>
      </c>
      <c r="N172">
        <f t="shared" si="26"/>
        <v>2337.4079999999994</v>
      </c>
      <c r="O172">
        <f t="shared" si="27"/>
        <v>17140.991999999998</v>
      </c>
      <c r="P172">
        <f>M172*0.58</f>
        <v>11297.471999999998</v>
      </c>
      <c r="Q172">
        <f t="shared" si="28"/>
        <v>5843.52</v>
      </c>
      <c r="R172" s="3">
        <f t="shared" si="29"/>
        <v>0.34090909090909094</v>
      </c>
      <c r="S172">
        <v>4</v>
      </c>
      <c r="T172" t="s">
        <v>38</v>
      </c>
    </row>
    <row r="173" spans="1:20" x14ac:dyDescent="0.35">
      <c r="A173" t="s">
        <v>229</v>
      </c>
      <c r="B173" s="2">
        <v>46039</v>
      </c>
      <c r="C173" t="s">
        <v>67</v>
      </c>
      <c r="D173" t="s">
        <v>62</v>
      </c>
      <c r="E173" t="s">
        <v>23</v>
      </c>
      <c r="F173" t="s">
        <v>34</v>
      </c>
      <c r="G173" t="s">
        <v>47</v>
      </c>
      <c r="H173" t="s">
        <v>36</v>
      </c>
      <c r="I173" t="s">
        <v>70</v>
      </c>
      <c r="J173">
        <v>42</v>
      </c>
      <c r="K173">
        <v>716.11</v>
      </c>
      <c r="L173" s="3">
        <v>0.05</v>
      </c>
      <c r="M173">
        <f t="shared" si="25"/>
        <v>30076.62</v>
      </c>
      <c r="N173">
        <f t="shared" si="26"/>
        <v>1503.8310000000001</v>
      </c>
      <c r="O173">
        <f t="shared" si="27"/>
        <v>28572.788999999997</v>
      </c>
      <c r="P173">
        <f>M173*0.6</f>
        <v>18045.971999999998</v>
      </c>
      <c r="Q173">
        <f t="shared" si="28"/>
        <v>10526.816999999999</v>
      </c>
      <c r="R173" s="3">
        <f t="shared" si="29"/>
        <v>0.36842105263157893</v>
      </c>
      <c r="S173">
        <v>5</v>
      </c>
      <c r="T173" t="s">
        <v>38</v>
      </c>
    </row>
    <row r="174" spans="1:20" x14ac:dyDescent="0.35">
      <c r="A174" t="s">
        <v>230</v>
      </c>
      <c r="B174" s="2">
        <v>46054</v>
      </c>
      <c r="C174" t="s">
        <v>40</v>
      </c>
      <c r="D174" t="s">
        <v>51</v>
      </c>
      <c r="E174" t="s">
        <v>49</v>
      </c>
      <c r="F174" t="s">
        <v>24</v>
      </c>
      <c r="G174" t="s">
        <v>41</v>
      </c>
      <c r="H174" t="s">
        <v>36</v>
      </c>
      <c r="I174" t="s">
        <v>37</v>
      </c>
      <c r="J174">
        <v>37</v>
      </c>
      <c r="K174">
        <v>434.47</v>
      </c>
      <c r="L174" s="3">
        <v>0.08</v>
      </c>
      <c r="M174">
        <f t="shared" si="25"/>
        <v>16075.390000000001</v>
      </c>
      <c r="N174">
        <f t="shared" si="26"/>
        <v>1286.0312000000001</v>
      </c>
      <c r="O174">
        <f t="shared" si="27"/>
        <v>14789.358800000002</v>
      </c>
      <c r="P174">
        <f>M174*0.55</f>
        <v>8841.4645000000019</v>
      </c>
      <c r="Q174">
        <f t="shared" si="28"/>
        <v>5947.8942999999999</v>
      </c>
      <c r="R174" s="3">
        <f t="shared" si="29"/>
        <v>0.40217391304347822</v>
      </c>
      <c r="S174">
        <v>5</v>
      </c>
      <c r="T174" t="s">
        <v>38</v>
      </c>
    </row>
    <row r="175" spans="1:20" x14ac:dyDescent="0.35">
      <c r="A175" t="s">
        <v>231</v>
      </c>
      <c r="B175" s="2">
        <v>46179</v>
      </c>
      <c r="C175" t="s">
        <v>21</v>
      </c>
      <c r="D175" t="s">
        <v>22</v>
      </c>
      <c r="E175" t="s">
        <v>23</v>
      </c>
      <c r="F175" t="s">
        <v>34</v>
      </c>
      <c r="G175" t="s">
        <v>41</v>
      </c>
      <c r="H175" t="s">
        <v>26</v>
      </c>
      <c r="I175" t="s">
        <v>27</v>
      </c>
      <c r="J175">
        <v>32</v>
      </c>
      <c r="K175">
        <v>594.58000000000004</v>
      </c>
      <c r="L175" s="3">
        <v>0.08</v>
      </c>
      <c r="M175">
        <f t="shared" si="25"/>
        <v>19026.560000000001</v>
      </c>
      <c r="N175">
        <f t="shared" si="26"/>
        <v>1522.1248000000001</v>
      </c>
      <c r="O175">
        <f t="shared" si="27"/>
        <v>17504.4352</v>
      </c>
      <c r="P175">
        <f>M175*0.58</f>
        <v>11035.4048</v>
      </c>
      <c r="Q175">
        <f t="shared" si="28"/>
        <v>6469.0303999999996</v>
      </c>
      <c r="R175" s="3">
        <f t="shared" si="29"/>
        <v>0.36956521739130432</v>
      </c>
      <c r="S175">
        <v>5</v>
      </c>
      <c r="T175" t="s">
        <v>38</v>
      </c>
    </row>
    <row r="176" spans="1:20" x14ac:dyDescent="0.35">
      <c r="A176" t="s">
        <v>232</v>
      </c>
      <c r="B176" s="2">
        <v>46055</v>
      </c>
      <c r="C176" t="s">
        <v>40</v>
      </c>
      <c r="D176" t="s">
        <v>22</v>
      </c>
      <c r="E176" t="s">
        <v>79</v>
      </c>
      <c r="F176" t="s">
        <v>34</v>
      </c>
      <c r="G176" t="s">
        <v>41</v>
      </c>
      <c r="H176" t="s">
        <v>42</v>
      </c>
      <c r="I176" t="s">
        <v>43</v>
      </c>
      <c r="J176">
        <v>24</v>
      </c>
      <c r="K176">
        <v>151.31</v>
      </c>
      <c r="L176" s="3">
        <v>0.1</v>
      </c>
      <c r="M176">
        <f t="shared" si="25"/>
        <v>3631.44</v>
      </c>
      <c r="N176">
        <f t="shared" si="26"/>
        <v>363.14400000000001</v>
      </c>
      <c r="O176">
        <f t="shared" si="27"/>
        <v>3268.2960000000003</v>
      </c>
      <c r="P176">
        <f>M176*0.5</f>
        <v>1815.72</v>
      </c>
      <c r="Q176">
        <f t="shared" si="28"/>
        <v>1452.5760000000002</v>
      </c>
      <c r="R176" s="3">
        <f t="shared" si="29"/>
        <v>0.44444444444444448</v>
      </c>
      <c r="S176">
        <v>5</v>
      </c>
      <c r="T176" t="s">
        <v>28</v>
      </c>
    </row>
    <row r="177" spans="1:20" x14ac:dyDescent="0.35">
      <c r="A177" t="s">
        <v>233</v>
      </c>
      <c r="B177" s="2">
        <v>46069</v>
      </c>
      <c r="C177" t="s">
        <v>40</v>
      </c>
      <c r="D177" t="s">
        <v>33</v>
      </c>
      <c r="E177" t="s">
        <v>57</v>
      </c>
      <c r="F177" t="s">
        <v>34</v>
      </c>
      <c r="G177" t="s">
        <v>35</v>
      </c>
      <c r="H177" t="s">
        <v>36</v>
      </c>
      <c r="I177" t="s">
        <v>37</v>
      </c>
      <c r="J177">
        <v>21</v>
      </c>
      <c r="K177">
        <v>400.23</v>
      </c>
      <c r="L177" s="3">
        <v>0.05</v>
      </c>
      <c r="M177">
        <f t="shared" si="25"/>
        <v>8404.83</v>
      </c>
      <c r="N177">
        <f t="shared" si="26"/>
        <v>420.24150000000003</v>
      </c>
      <c r="O177">
        <f t="shared" si="27"/>
        <v>7984.5884999999998</v>
      </c>
      <c r="P177">
        <f>M177*0.55</f>
        <v>4622.6565000000001</v>
      </c>
      <c r="Q177">
        <f t="shared" si="28"/>
        <v>3361.9319999999998</v>
      </c>
      <c r="R177" s="3">
        <f t="shared" si="29"/>
        <v>0.42105263157894735</v>
      </c>
      <c r="S177">
        <v>5</v>
      </c>
      <c r="T177" t="s">
        <v>38</v>
      </c>
    </row>
    <row r="178" spans="1:20" x14ac:dyDescent="0.35">
      <c r="A178" t="s">
        <v>234</v>
      </c>
      <c r="B178" s="2">
        <v>46111</v>
      </c>
      <c r="C178" t="s">
        <v>59</v>
      </c>
      <c r="D178" t="s">
        <v>56</v>
      </c>
      <c r="E178" t="s">
        <v>31</v>
      </c>
      <c r="F178" t="s">
        <v>24</v>
      </c>
      <c r="G178" t="s">
        <v>47</v>
      </c>
      <c r="H178" t="s">
        <v>36</v>
      </c>
      <c r="I178" t="s">
        <v>70</v>
      </c>
      <c r="J178">
        <v>37</v>
      </c>
      <c r="K178">
        <v>731.17</v>
      </c>
      <c r="L178" s="3">
        <v>0.12</v>
      </c>
      <c r="M178">
        <f t="shared" si="25"/>
        <v>27053.289999999997</v>
      </c>
      <c r="N178">
        <f t="shared" si="26"/>
        <v>3246.3947999999996</v>
      </c>
      <c r="O178">
        <f t="shared" si="27"/>
        <v>23806.895199999999</v>
      </c>
      <c r="P178">
        <f>M178*0.6</f>
        <v>16231.973999999998</v>
      </c>
      <c r="Q178">
        <f t="shared" si="28"/>
        <v>7574.9212000000007</v>
      </c>
      <c r="R178" s="3">
        <f t="shared" si="29"/>
        <v>0.31818181818181823</v>
      </c>
      <c r="S178">
        <v>4</v>
      </c>
      <c r="T178" t="s">
        <v>28</v>
      </c>
    </row>
    <row r="179" spans="1:20" x14ac:dyDescent="0.35">
      <c r="A179" t="s">
        <v>235</v>
      </c>
      <c r="B179" s="2">
        <v>46159</v>
      </c>
      <c r="C179" t="s">
        <v>46</v>
      </c>
      <c r="D179" t="s">
        <v>62</v>
      </c>
      <c r="E179" t="s">
        <v>86</v>
      </c>
      <c r="F179" t="s">
        <v>24</v>
      </c>
      <c r="G179" t="s">
        <v>25</v>
      </c>
      <c r="H179" t="s">
        <v>26</v>
      </c>
      <c r="I179" t="s">
        <v>27</v>
      </c>
      <c r="J179">
        <v>41</v>
      </c>
      <c r="K179">
        <v>617.19000000000005</v>
      </c>
      <c r="L179" s="3">
        <v>0.1</v>
      </c>
      <c r="M179">
        <f t="shared" si="25"/>
        <v>25304.79</v>
      </c>
      <c r="N179">
        <f t="shared" si="26"/>
        <v>2530.4790000000003</v>
      </c>
      <c r="O179">
        <f t="shared" si="27"/>
        <v>22774.311000000002</v>
      </c>
      <c r="P179">
        <f>M179*0.58</f>
        <v>14676.778199999999</v>
      </c>
      <c r="Q179">
        <f t="shared" si="28"/>
        <v>8097.5328000000027</v>
      </c>
      <c r="R179" s="3">
        <f t="shared" si="29"/>
        <v>0.35555555555555562</v>
      </c>
      <c r="S179">
        <v>4</v>
      </c>
      <c r="T179" t="s">
        <v>28</v>
      </c>
    </row>
    <row r="180" spans="1:20" x14ac:dyDescent="0.35">
      <c r="A180" t="s">
        <v>236</v>
      </c>
      <c r="B180" s="2">
        <v>46033</v>
      </c>
      <c r="C180" t="s">
        <v>67</v>
      </c>
      <c r="D180" t="s">
        <v>22</v>
      </c>
      <c r="E180" t="s">
        <v>57</v>
      </c>
      <c r="F180" t="s">
        <v>34</v>
      </c>
      <c r="G180" t="s">
        <v>47</v>
      </c>
      <c r="H180" t="s">
        <v>26</v>
      </c>
      <c r="I180" t="s">
        <v>27</v>
      </c>
      <c r="J180">
        <v>38</v>
      </c>
      <c r="K180">
        <v>581.91999999999996</v>
      </c>
      <c r="L180" s="3">
        <v>0.12</v>
      </c>
      <c r="M180">
        <f t="shared" si="25"/>
        <v>22112.959999999999</v>
      </c>
      <c r="N180">
        <f t="shared" si="26"/>
        <v>2653.5551999999998</v>
      </c>
      <c r="O180">
        <f t="shared" si="27"/>
        <v>19459.4048</v>
      </c>
      <c r="P180">
        <f>M180*0.58</f>
        <v>12825.516799999999</v>
      </c>
      <c r="Q180">
        <f t="shared" si="28"/>
        <v>6633.8880000000008</v>
      </c>
      <c r="R180" s="3">
        <f t="shared" si="29"/>
        <v>0.34090909090909094</v>
      </c>
      <c r="S180">
        <v>3</v>
      </c>
      <c r="T180" t="s">
        <v>44</v>
      </c>
    </row>
    <row r="181" spans="1:20" x14ac:dyDescent="0.35">
      <c r="A181" t="s">
        <v>237</v>
      </c>
      <c r="B181" s="2">
        <v>46183</v>
      </c>
      <c r="C181" t="s">
        <v>21</v>
      </c>
      <c r="D181" t="s">
        <v>56</v>
      </c>
      <c r="E181" t="s">
        <v>23</v>
      </c>
      <c r="F181" t="s">
        <v>24</v>
      </c>
      <c r="G181" t="s">
        <v>41</v>
      </c>
      <c r="H181" t="s">
        <v>36</v>
      </c>
      <c r="I181" t="s">
        <v>70</v>
      </c>
      <c r="J181">
        <v>45</v>
      </c>
      <c r="K181">
        <v>750.91</v>
      </c>
      <c r="L181" s="3">
        <v>0.08</v>
      </c>
      <c r="M181">
        <f t="shared" si="25"/>
        <v>33790.949999999997</v>
      </c>
      <c r="N181">
        <f t="shared" si="26"/>
        <v>2703.2759999999998</v>
      </c>
      <c r="O181">
        <f t="shared" si="27"/>
        <v>31087.673999999999</v>
      </c>
      <c r="P181">
        <f>M181*0.6</f>
        <v>20274.569999999996</v>
      </c>
      <c r="Q181">
        <f t="shared" si="28"/>
        <v>10813.104000000003</v>
      </c>
      <c r="R181" s="3">
        <f t="shared" si="29"/>
        <v>0.34782608695652184</v>
      </c>
      <c r="S181">
        <v>3</v>
      </c>
      <c r="T181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Dashboard Dummy Dataset</dc:title>
  <dc:subject>Synthetic sales dataset for training dashboards</dc:subject>
  <dc:creator>Kheng Yee</dc:creator>
  <cp:keywords/>
  <dc:description/>
  <cp:lastModifiedBy>Kheng Yee</cp:lastModifiedBy>
  <cp:revision/>
  <dcterms:created xsi:type="dcterms:W3CDTF">2026-07-15T01:46:32Z</dcterms:created>
  <dcterms:modified xsi:type="dcterms:W3CDTF">2026-07-23T03:26:21Z</dcterms:modified>
  <cp:category/>
  <cp:contentStatus/>
</cp:coreProperties>
</file>